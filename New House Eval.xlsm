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idan\Downloads\"/>
    </mc:Choice>
  </mc:AlternateContent>
  <bookViews>
    <workbookView xWindow="0" yWindow="0" windowWidth="5745" windowHeight="7545" activeTab="1"/>
  </bookViews>
  <sheets>
    <sheet name="Additional Repayment" sheetId="1" r:id="rId1"/>
    <sheet name="Buy New House" sheetId="2" r:id="rId2"/>
  </sheets>
  <definedNames>
    <definedName name="solver_adj" localSheetId="0" hidden="1">'Additional Repayment'!$D$3,'Additional Repayment'!$G$12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'Additional Repayment'!$D$3</definedName>
    <definedName name="solver_lhs2" localSheetId="0" hidden="1">'Additional Repayment'!$D$3</definedName>
    <definedName name="solver_lhs3" localSheetId="0" hidden="1">'Additional Repayment'!$G$12</definedName>
    <definedName name="solver_lhs4" localSheetId="0" hidden="1">'Additional Repayment'!$G$12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1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'Additional Repayment'!$G$7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1</definedName>
    <definedName name="solver_rel4" localSheetId="0" hidden="1">3</definedName>
    <definedName name="solver_rhs1" localSheetId="0" hidden="1">3000</definedName>
    <definedName name="solver_rhs2" localSheetId="0" hidden="1">'Additional Repayment'!$C$3+2</definedName>
    <definedName name="solver_rhs3" localSheetId="0" hidden="1">50</definedName>
    <definedName name="solver_rhs4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2" l="1"/>
  <c r="D9" i="2"/>
  <c r="E9" i="2" s="1"/>
  <c r="E10" i="2" s="1"/>
  <c r="E8" i="2"/>
  <c r="D7" i="2"/>
  <c r="G9" i="1"/>
  <c r="G12" i="1"/>
  <c r="C5" i="1"/>
  <c r="H25" i="2"/>
  <c r="H17" i="2"/>
  <c r="I4" i="2" l="1"/>
  <c r="M14" i="2"/>
  <c r="M11" i="2"/>
  <c r="M4" i="2"/>
  <c r="M3" i="2"/>
  <c r="H21" i="2"/>
  <c r="H19" i="2"/>
  <c r="I15" i="2"/>
  <c r="H15" i="2"/>
  <c r="Q10" i="2"/>
  <c r="R3" i="2"/>
  <c r="R4" i="2"/>
  <c r="R8" i="2" s="1"/>
  <c r="Q8" i="2" s="1"/>
  <c r="R5" i="2"/>
  <c r="Q7" i="2"/>
  <c r="Q9" i="2" s="1"/>
  <c r="R7" i="2"/>
  <c r="Q12" i="2"/>
  <c r="H24" i="2"/>
  <c r="I12" i="2"/>
  <c r="H12" i="2"/>
  <c r="H20" i="2" s="1"/>
  <c r="I11" i="2"/>
  <c r="H11" i="2" s="1"/>
  <c r="I8" i="2"/>
  <c r="I7" i="2"/>
  <c r="I10" i="2"/>
  <c r="I6" i="2"/>
  <c r="I5" i="2"/>
  <c r="I3" i="2"/>
  <c r="I13" i="2" s="1"/>
  <c r="C2" i="1"/>
  <c r="D2" i="1" l="1"/>
  <c r="B5" i="1"/>
  <c r="I14" i="2"/>
  <c r="I16" i="2" s="1"/>
  <c r="H16" i="2" s="1"/>
  <c r="H13" i="2"/>
  <c r="H14" i="2" l="1"/>
  <c r="R10" i="2"/>
  <c r="M6" i="2" l="1"/>
  <c r="M9" i="2" s="1"/>
  <c r="H22" i="2"/>
  <c r="N13" i="1"/>
  <c r="P6" i="1"/>
  <c r="P5" i="1"/>
  <c r="P4" i="1"/>
  <c r="O5" i="1"/>
  <c r="M5" i="2" l="1"/>
  <c r="M8" i="2" s="1"/>
  <c r="M17" i="2" s="1"/>
  <c r="I22" i="2"/>
  <c r="M12" i="2"/>
  <c r="M18" i="2" s="1"/>
  <c r="BJ2" i="1"/>
  <c r="BJ3" i="1" s="1"/>
  <c r="BK2" i="1"/>
  <c r="BN2" i="1" s="1"/>
  <c r="BI3" i="1"/>
  <c r="BI4" i="1"/>
  <c r="BI5" i="1"/>
  <c r="BI6" i="1"/>
  <c r="BM1415" i="1"/>
  <c r="BO2" i="1" l="1"/>
  <c r="M19" i="2"/>
  <c r="BO3" i="1"/>
  <c r="BJ4" i="1"/>
  <c r="BI7" i="1"/>
  <c r="BJ5" i="1" l="1"/>
  <c r="BO4" i="1"/>
  <c r="BI8" i="1"/>
  <c r="BJ6" i="1" l="1"/>
  <c r="BO5" i="1"/>
  <c r="BI9" i="1"/>
  <c r="BI10" i="1" l="1"/>
  <c r="BO6" i="1"/>
  <c r="BJ7" i="1"/>
  <c r="BO7" i="1" l="1"/>
  <c r="BJ8" i="1"/>
  <c r="BI11" i="1"/>
  <c r="BJ9" i="1" l="1"/>
  <c r="BO8" i="1"/>
  <c r="BI12" i="1"/>
  <c r="BJ10" i="1" l="1"/>
  <c r="BO9" i="1"/>
  <c r="BI13" i="1"/>
  <c r="BO10" i="1" l="1"/>
  <c r="BJ11" i="1"/>
  <c r="BI14" i="1"/>
  <c r="BI15" i="1" l="1"/>
  <c r="BO11" i="1"/>
  <c r="BJ12" i="1"/>
  <c r="BJ13" i="1" l="1"/>
  <c r="BO12" i="1"/>
  <c r="BI16" i="1"/>
  <c r="BI17" i="1" l="1"/>
  <c r="BJ14" i="1"/>
  <c r="BO13" i="1"/>
  <c r="BO14" i="1" l="1"/>
  <c r="BJ15" i="1"/>
  <c r="BI18" i="1"/>
  <c r="BI19" i="1" l="1"/>
  <c r="BO15" i="1"/>
  <c r="BJ16" i="1"/>
  <c r="BJ17" i="1" l="1"/>
  <c r="BO16" i="1"/>
  <c r="BI20" i="1"/>
  <c r="BI21" i="1" l="1"/>
  <c r="BJ18" i="1"/>
  <c r="BO17" i="1"/>
  <c r="BO18" i="1" l="1"/>
  <c r="BJ19" i="1"/>
  <c r="BI22" i="1"/>
  <c r="BO19" i="1" l="1"/>
  <c r="BJ20" i="1"/>
  <c r="BI23" i="1"/>
  <c r="BI24" i="1" l="1"/>
  <c r="BJ21" i="1"/>
  <c r="BO20" i="1"/>
  <c r="BJ22" i="1" l="1"/>
  <c r="BO21" i="1"/>
  <c r="BI25" i="1"/>
  <c r="BI26" i="1" l="1"/>
  <c r="BO22" i="1"/>
  <c r="BJ23" i="1"/>
  <c r="BO23" i="1" l="1"/>
  <c r="BJ24" i="1"/>
  <c r="BI27" i="1"/>
  <c r="BI28" i="1" l="1"/>
  <c r="BJ25" i="1"/>
  <c r="BO24" i="1"/>
  <c r="BJ26" i="1" l="1"/>
  <c r="BO25" i="1"/>
  <c r="BI29" i="1"/>
  <c r="BO26" i="1" l="1"/>
  <c r="BJ27" i="1"/>
  <c r="BI30" i="1"/>
  <c r="BI31" i="1" l="1"/>
  <c r="BO27" i="1"/>
  <c r="BJ28" i="1"/>
  <c r="BJ29" i="1" l="1"/>
  <c r="BO28" i="1"/>
  <c r="BI32" i="1"/>
  <c r="BI33" i="1" l="1"/>
  <c r="BJ30" i="1"/>
  <c r="BO29" i="1"/>
  <c r="BO30" i="1" l="1"/>
  <c r="BJ31" i="1"/>
  <c r="BI34" i="1"/>
  <c r="BI35" i="1" l="1"/>
  <c r="BO31" i="1"/>
  <c r="BJ32" i="1"/>
  <c r="BJ33" i="1" l="1"/>
  <c r="BO32" i="1"/>
  <c r="BI36" i="1"/>
  <c r="BI37" i="1" l="1"/>
  <c r="BJ34" i="1"/>
  <c r="BO33" i="1"/>
  <c r="BO34" i="1" l="1"/>
  <c r="BJ35" i="1"/>
  <c r="BI38" i="1"/>
  <c r="BO35" i="1" l="1"/>
  <c r="BJ36" i="1"/>
  <c r="BI39" i="1"/>
  <c r="BI40" i="1" l="1"/>
  <c r="BJ37" i="1"/>
  <c r="BO36" i="1"/>
  <c r="BI41" i="1" l="1"/>
  <c r="BJ38" i="1"/>
  <c r="BO37" i="1"/>
  <c r="BO38" i="1" l="1"/>
  <c r="BJ39" i="1"/>
  <c r="BI42" i="1"/>
  <c r="BI43" i="1" l="1"/>
  <c r="BO39" i="1"/>
  <c r="BJ40" i="1"/>
  <c r="BJ41" i="1" l="1"/>
  <c r="BO40" i="1"/>
  <c r="BI44" i="1"/>
  <c r="BI45" i="1" l="1"/>
  <c r="BJ42" i="1"/>
  <c r="BO41" i="1"/>
  <c r="BO42" i="1" l="1"/>
  <c r="BJ43" i="1"/>
  <c r="BI46" i="1"/>
  <c r="BI47" i="1" l="1"/>
  <c r="BO43" i="1"/>
  <c r="BJ44" i="1"/>
  <c r="BJ45" i="1" l="1"/>
  <c r="BO44" i="1"/>
  <c r="BI48" i="1"/>
  <c r="BI49" i="1" l="1"/>
  <c r="BO45" i="1"/>
  <c r="BJ46" i="1"/>
  <c r="BO46" i="1" l="1"/>
  <c r="BJ47" i="1"/>
  <c r="BI50" i="1"/>
  <c r="BI51" i="1" l="1"/>
  <c r="BJ48" i="1"/>
  <c r="BO47" i="1"/>
  <c r="BJ49" i="1" l="1"/>
  <c r="BO48" i="1"/>
  <c r="BI52" i="1"/>
  <c r="BI53" i="1" l="1"/>
  <c r="BO49" i="1"/>
  <c r="BJ50" i="1"/>
  <c r="BO50" i="1" l="1"/>
  <c r="BJ51" i="1"/>
  <c r="BI54" i="1"/>
  <c r="BI55" i="1" l="1"/>
  <c r="BO51" i="1"/>
  <c r="BJ52" i="1"/>
  <c r="BO52" i="1" l="1"/>
  <c r="BJ53" i="1"/>
  <c r="BI56" i="1"/>
  <c r="BI57" i="1" l="1"/>
  <c r="BJ54" i="1"/>
  <c r="BO53" i="1"/>
  <c r="BI58" i="1" l="1"/>
  <c r="BJ55" i="1"/>
  <c r="BO54" i="1"/>
  <c r="BO55" i="1" l="1"/>
  <c r="BJ56" i="1"/>
  <c r="BI59" i="1"/>
  <c r="BI60" i="1" l="1"/>
  <c r="BO56" i="1"/>
  <c r="BJ57" i="1"/>
  <c r="BJ58" i="1" l="1"/>
  <c r="BO57" i="1"/>
  <c r="BI61" i="1"/>
  <c r="BJ59" i="1" l="1"/>
  <c r="BO58" i="1"/>
  <c r="BI62" i="1"/>
  <c r="BI63" i="1" l="1"/>
  <c r="BO59" i="1"/>
  <c r="BJ60" i="1"/>
  <c r="BI64" i="1" l="1"/>
  <c r="BO60" i="1"/>
  <c r="BJ61" i="1"/>
  <c r="BJ62" i="1" l="1"/>
  <c r="BO61" i="1"/>
  <c r="BI65" i="1"/>
  <c r="BI66" i="1" l="1"/>
  <c r="BJ63" i="1"/>
  <c r="BO62" i="1"/>
  <c r="BO63" i="1" l="1"/>
  <c r="BJ64" i="1"/>
  <c r="BI67" i="1"/>
  <c r="BO64" i="1" l="1"/>
  <c r="BJ65" i="1"/>
  <c r="BI68" i="1"/>
  <c r="BI69" i="1" l="1"/>
  <c r="BJ66" i="1"/>
  <c r="BO65" i="1"/>
  <c r="BJ67" i="1" l="1"/>
  <c r="BO66" i="1"/>
  <c r="BI70" i="1"/>
  <c r="BI71" i="1" l="1"/>
  <c r="BO67" i="1"/>
  <c r="BJ68" i="1"/>
  <c r="BO68" i="1" l="1"/>
  <c r="BJ69" i="1"/>
  <c r="BI72" i="1"/>
  <c r="BI73" i="1" l="1"/>
  <c r="BJ70" i="1"/>
  <c r="BO69" i="1"/>
  <c r="BJ71" i="1" l="1"/>
  <c r="BO70" i="1"/>
  <c r="BI74" i="1"/>
  <c r="BO71" i="1" l="1"/>
  <c r="BJ72" i="1"/>
  <c r="BI75" i="1"/>
  <c r="BI76" i="1" l="1"/>
  <c r="BO72" i="1"/>
  <c r="BJ73" i="1"/>
  <c r="BJ74" i="1" l="1"/>
  <c r="BO73" i="1"/>
  <c r="BI77" i="1"/>
  <c r="BJ75" i="1" l="1"/>
  <c r="BO74" i="1"/>
  <c r="BI78" i="1"/>
  <c r="BO75" i="1" l="1"/>
  <c r="BJ76" i="1"/>
  <c r="BI79" i="1"/>
  <c r="BO76" i="1" l="1"/>
  <c r="BJ77" i="1"/>
  <c r="BI80" i="1"/>
  <c r="BJ78" i="1" l="1"/>
  <c r="BO77" i="1"/>
  <c r="BI81" i="1"/>
  <c r="BI82" i="1" l="1"/>
  <c r="BJ79" i="1"/>
  <c r="BO78" i="1"/>
  <c r="BO79" i="1" l="1"/>
  <c r="BJ80" i="1"/>
  <c r="BI83" i="1"/>
  <c r="BI84" i="1" l="1"/>
  <c r="BO80" i="1"/>
  <c r="BJ81" i="1"/>
  <c r="BJ82" i="1" l="1"/>
  <c r="BO81" i="1"/>
  <c r="BI85" i="1"/>
  <c r="BJ83" i="1" l="1"/>
  <c r="BO82" i="1"/>
  <c r="BI86" i="1"/>
  <c r="BI87" i="1" l="1"/>
  <c r="BO83" i="1"/>
  <c r="BJ84" i="1"/>
  <c r="BJ85" i="1" l="1"/>
  <c r="BO84" i="1"/>
  <c r="BI88" i="1"/>
  <c r="BJ86" i="1" l="1"/>
  <c r="BO85" i="1"/>
  <c r="BI89" i="1"/>
  <c r="BI90" i="1" l="1"/>
  <c r="BO86" i="1"/>
  <c r="BJ87" i="1"/>
  <c r="BO87" i="1" l="1"/>
  <c r="BJ88" i="1"/>
  <c r="BI91" i="1"/>
  <c r="BI92" i="1" l="1"/>
  <c r="BO88" i="1"/>
  <c r="BJ89" i="1"/>
  <c r="BJ90" i="1" l="1"/>
  <c r="BO89" i="1"/>
  <c r="BI93" i="1"/>
  <c r="BI94" i="1" l="1"/>
  <c r="BJ91" i="1"/>
  <c r="BO90" i="1"/>
  <c r="BO91" i="1" l="1"/>
  <c r="BJ92" i="1"/>
  <c r="BI95" i="1"/>
  <c r="BO92" i="1" l="1"/>
  <c r="BJ93" i="1"/>
  <c r="BI96" i="1"/>
  <c r="BI97" i="1" l="1"/>
  <c r="BJ94" i="1"/>
  <c r="BO93" i="1"/>
  <c r="BJ95" i="1" l="1"/>
  <c r="BO94" i="1"/>
  <c r="BI98" i="1"/>
  <c r="BI99" i="1" l="1"/>
  <c r="BO95" i="1"/>
  <c r="BJ96" i="1"/>
  <c r="BO96" i="1" l="1"/>
  <c r="BJ97" i="1"/>
  <c r="BI100" i="1"/>
  <c r="BI101" i="1" l="1"/>
  <c r="BJ98" i="1"/>
  <c r="BO97" i="1"/>
  <c r="BJ99" i="1" l="1"/>
  <c r="BO98" i="1"/>
  <c r="BI102" i="1"/>
  <c r="BO99" i="1" l="1"/>
  <c r="BJ100" i="1"/>
  <c r="BI103" i="1"/>
  <c r="BO100" i="1" l="1"/>
  <c r="BJ101" i="1"/>
  <c r="BI104" i="1"/>
  <c r="BJ102" i="1" l="1"/>
  <c r="BO101" i="1"/>
  <c r="BI105" i="1"/>
  <c r="BJ103" i="1" l="1"/>
  <c r="BO102" i="1"/>
  <c r="BI106" i="1"/>
  <c r="BI107" i="1" l="1"/>
  <c r="BO103" i="1"/>
  <c r="BJ104" i="1"/>
  <c r="BO104" i="1" l="1"/>
  <c r="BJ105" i="1"/>
  <c r="BI108" i="1"/>
  <c r="BI109" i="1" l="1"/>
  <c r="BJ106" i="1"/>
  <c r="BO105" i="1"/>
  <c r="BJ107" i="1" l="1"/>
  <c r="BO106" i="1"/>
  <c r="BI110" i="1"/>
  <c r="BI111" i="1" l="1"/>
  <c r="BO107" i="1"/>
  <c r="BJ108" i="1"/>
  <c r="BI112" i="1" l="1"/>
  <c r="BO108" i="1"/>
  <c r="BJ109" i="1"/>
  <c r="BI113" i="1" l="1"/>
  <c r="BJ110" i="1"/>
  <c r="BO109" i="1"/>
  <c r="BJ111" i="1" l="1"/>
  <c r="BO110" i="1"/>
  <c r="BI114" i="1"/>
  <c r="BI115" i="1" l="1"/>
  <c r="BO111" i="1"/>
  <c r="BJ112" i="1"/>
  <c r="BO112" i="1" l="1"/>
  <c r="BJ113" i="1"/>
  <c r="BI116" i="1"/>
  <c r="BI117" i="1" l="1"/>
  <c r="BJ114" i="1"/>
  <c r="BO113" i="1"/>
  <c r="BI118" i="1" l="1"/>
  <c r="BJ115" i="1"/>
  <c r="BO114" i="1"/>
  <c r="BO115" i="1" l="1"/>
  <c r="BJ116" i="1"/>
  <c r="BI119" i="1"/>
  <c r="BI120" i="1" l="1"/>
  <c r="BO116" i="1"/>
  <c r="BJ117" i="1"/>
  <c r="BI121" i="1" l="1"/>
  <c r="BJ118" i="1"/>
  <c r="BO117" i="1"/>
  <c r="BJ119" i="1" l="1"/>
  <c r="BO118" i="1"/>
  <c r="BI122" i="1"/>
  <c r="BI123" i="1" l="1"/>
  <c r="BO119" i="1"/>
  <c r="BJ120" i="1"/>
  <c r="BI124" i="1" l="1"/>
  <c r="BO120" i="1"/>
  <c r="BJ121" i="1"/>
  <c r="BJ122" i="1" l="1"/>
  <c r="BO121" i="1"/>
  <c r="BI125" i="1"/>
  <c r="BI126" i="1" l="1"/>
  <c r="BJ123" i="1"/>
  <c r="BO122" i="1"/>
  <c r="BO123" i="1" l="1"/>
  <c r="BJ124" i="1"/>
  <c r="BI127" i="1"/>
  <c r="BI128" i="1" l="1"/>
  <c r="BJ125" i="1"/>
  <c r="BO124" i="1"/>
  <c r="BJ126" i="1" l="1"/>
  <c r="BO125" i="1"/>
  <c r="BI129" i="1"/>
  <c r="BI130" i="1" l="1"/>
  <c r="BO126" i="1"/>
  <c r="BJ127" i="1"/>
  <c r="BO127" i="1" l="1"/>
  <c r="BJ128" i="1"/>
  <c r="BI131" i="1"/>
  <c r="BI132" i="1" l="1"/>
  <c r="BJ129" i="1"/>
  <c r="BO128" i="1"/>
  <c r="BI133" i="1" l="1"/>
  <c r="BJ130" i="1"/>
  <c r="BO129" i="1"/>
  <c r="BO130" i="1" l="1"/>
  <c r="BJ131" i="1"/>
  <c r="BI134" i="1"/>
  <c r="BI135" i="1" l="1"/>
  <c r="BJ132" i="1"/>
  <c r="BO131" i="1"/>
  <c r="BI136" i="1" l="1"/>
  <c r="BO132" i="1"/>
  <c r="BJ133" i="1"/>
  <c r="BO133" i="1" l="1"/>
  <c r="BJ134" i="1"/>
  <c r="BI137" i="1"/>
  <c r="BI138" i="1" l="1"/>
  <c r="BJ135" i="1"/>
  <c r="BO134" i="1"/>
  <c r="BJ136" i="1" l="1"/>
  <c r="BO135" i="1"/>
  <c r="BI139" i="1"/>
  <c r="BI140" i="1" l="1"/>
  <c r="BO136" i="1"/>
  <c r="BJ137" i="1"/>
  <c r="BO137" i="1" l="1"/>
  <c r="BJ138" i="1"/>
  <c r="BI141" i="1"/>
  <c r="BI142" i="1" l="1"/>
  <c r="BJ139" i="1"/>
  <c r="BO138" i="1"/>
  <c r="BJ140" i="1" l="1"/>
  <c r="BO139" i="1"/>
  <c r="BI143" i="1"/>
  <c r="BI144" i="1" l="1"/>
  <c r="BO140" i="1"/>
  <c r="BJ141" i="1"/>
  <c r="BO141" i="1" l="1"/>
  <c r="BJ142" i="1"/>
  <c r="BI145" i="1"/>
  <c r="BI146" i="1" l="1"/>
  <c r="BJ143" i="1"/>
  <c r="BO142" i="1"/>
  <c r="BJ144" i="1" l="1"/>
  <c r="BO143" i="1"/>
  <c r="BI147" i="1"/>
  <c r="BI148" i="1" l="1"/>
  <c r="BO144" i="1"/>
  <c r="BJ145" i="1"/>
  <c r="BO145" i="1" l="1"/>
  <c r="BJ146" i="1"/>
  <c r="BI149" i="1"/>
  <c r="BI150" i="1" l="1"/>
  <c r="BJ147" i="1"/>
  <c r="BO146" i="1"/>
  <c r="BJ148" i="1" l="1"/>
  <c r="BO147" i="1"/>
  <c r="BI151" i="1"/>
  <c r="BO148" i="1" l="1"/>
  <c r="BJ149" i="1"/>
  <c r="BI152" i="1"/>
  <c r="BI153" i="1" l="1"/>
  <c r="BO149" i="1"/>
  <c r="BJ150" i="1"/>
  <c r="BJ151" i="1" l="1"/>
  <c r="BO150" i="1"/>
  <c r="BI154" i="1"/>
  <c r="BJ152" i="1" l="1"/>
  <c r="BO151" i="1"/>
  <c r="BI155" i="1"/>
  <c r="BI156" i="1" l="1"/>
  <c r="BO152" i="1"/>
  <c r="BJ153" i="1"/>
  <c r="BI157" i="1" l="1"/>
  <c r="BO153" i="1"/>
  <c r="BJ154" i="1"/>
  <c r="BJ155" i="1" l="1"/>
  <c r="BO154" i="1"/>
  <c r="BI158" i="1"/>
  <c r="BJ156" i="1" l="1"/>
  <c r="BO155" i="1"/>
  <c r="BI159" i="1"/>
  <c r="BI160" i="1" l="1"/>
  <c r="BO156" i="1"/>
  <c r="BJ157" i="1"/>
  <c r="BO157" i="1" l="1"/>
  <c r="BJ158" i="1"/>
  <c r="BI161" i="1"/>
  <c r="BJ159" i="1" l="1"/>
  <c r="BO158" i="1"/>
  <c r="BI162" i="1"/>
  <c r="BI163" i="1" l="1"/>
  <c r="BJ160" i="1"/>
  <c r="BO159" i="1"/>
  <c r="BO160" i="1" l="1"/>
  <c r="BJ161" i="1"/>
  <c r="BI164" i="1"/>
  <c r="BI165" i="1" l="1"/>
  <c r="BO161" i="1"/>
  <c r="BJ162" i="1"/>
  <c r="BJ163" i="1" l="1"/>
  <c r="BO162" i="1"/>
  <c r="BI166" i="1"/>
  <c r="BJ164" i="1" l="1"/>
  <c r="BO163" i="1"/>
  <c r="BI167" i="1"/>
  <c r="BO164" i="1" l="1"/>
  <c r="BJ165" i="1"/>
  <c r="BI168" i="1"/>
  <c r="BI169" i="1" l="1"/>
  <c r="BO165" i="1"/>
  <c r="BJ166" i="1"/>
  <c r="BJ167" i="1" l="1"/>
  <c r="BO166" i="1"/>
  <c r="BI170" i="1"/>
  <c r="BI171" i="1" l="1"/>
  <c r="BJ168" i="1"/>
  <c r="BO167" i="1"/>
  <c r="BO168" i="1" l="1"/>
  <c r="BJ169" i="1"/>
  <c r="BI172" i="1"/>
  <c r="BO169" i="1" l="1"/>
  <c r="BJ170" i="1"/>
  <c r="BI173" i="1"/>
  <c r="BI174" i="1" l="1"/>
  <c r="BJ171" i="1"/>
  <c r="BO170" i="1"/>
  <c r="BJ172" i="1" l="1"/>
  <c r="BO171" i="1"/>
  <c r="BI175" i="1"/>
  <c r="BI176" i="1" l="1"/>
  <c r="BO172" i="1"/>
  <c r="BJ173" i="1"/>
  <c r="BO173" i="1" l="1"/>
  <c r="BJ174" i="1"/>
  <c r="BI177" i="1"/>
  <c r="BI178" i="1" l="1"/>
  <c r="BJ175" i="1"/>
  <c r="BO174" i="1"/>
  <c r="BJ176" i="1" l="1"/>
  <c r="BO175" i="1"/>
  <c r="BI179" i="1"/>
  <c r="BO176" i="1" l="1"/>
  <c r="BJ177" i="1"/>
  <c r="BI180" i="1"/>
  <c r="BI181" i="1" l="1"/>
  <c r="BO177" i="1"/>
  <c r="BJ178" i="1"/>
  <c r="BJ179" i="1" l="1"/>
  <c r="BO178" i="1"/>
  <c r="BI182" i="1"/>
  <c r="BI183" i="1" l="1"/>
  <c r="BO179" i="1"/>
  <c r="BJ180" i="1"/>
  <c r="BO180" i="1" l="1"/>
  <c r="BJ181" i="1"/>
  <c r="BI184" i="1"/>
  <c r="BJ182" i="1" l="1"/>
  <c r="BO181" i="1"/>
  <c r="BI185" i="1"/>
  <c r="BI186" i="1" l="1"/>
  <c r="BJ183" i="1"/>
  <c r="BO182" i="1"/>
  <c r="BI187" i="1" l="1"/>
  <c r="BO183" i="1"/>
  <c r="BJ184" i="1"/>
  <c r="BI188" i="1" l="1"/>
  <c r="BO184" i="1"/>
  <c r="BJ185" i="1"/>
  <c r="BJ186" i="1" l="1"/>
  <c r="BO185" i="1"/>
  <c r="BI189" i="1"/>
  <c r="BI190" i="1" l="1"/>
  <c r="BJ187" i="1"/>
  <c r="BO186" i="1"/>
  <c r="BO187" i="1" l="1"/>
  <c r="BJ188" i="1"/>
  <c r="BI191" i="1"/>
  <c r="BI192" i="1" l="1"/>
  <c r="BO188" i="1"/>
  <c r="BJ189" i="1"/>
  <c r="BJ190" i="1" l="1"/>
  <c r="BO189" i="1"/>
  <c r="BI193" i="1"/>
  <c r="BI194" i="1" l="1"/>
  <c r="BJ191" i="1"/>
  <c r="BO190" i="1"/>
  <c r="BO191" i="1" l="1"/>
  <c r="BJ192" i="1"/>
  <c r="BI195" i="1"/>
  <c r="BI196" i="1" l="1"/>
  <c r="BO192" i="1"/>
  <c r="BJ193" i="1"/>
  <c r="BJ194" i="1" l="1"/>
  <c r="BO193" i="1"/>
  <c r="BI197" i="1"/>
  <c r="BI198" i="1" l="1"/>
  <c r="BJ195" i="1"/>
  <c r="BO194" i="1"/>
  <c r="BI199" i="1" l="1"/>
  <c r="BO195" i="1"/>
  <c r="BJ196" i="1"/>
  <c r="BO196" i="1" l="1"/>
  <c r="BJ197" i="1"/>
  <c r="BI200" i="1"/>
  <c r="BI201" i="1" l="1"/>
  <c r="BJ198" i="1"/>
  <c r="BO197" i="1"/>
  <c r="BJ199" i="1" l="1"/>
  <c r="BO198" i="1"/>
  <c r="BI202" i="1"/>
  <c r="BO199" i="1" l="1"/>
  <c r="BJ200" i="1"/>
  <c r="BI203" i="1"/>
  <c r="BI204" i="1" l="1"/>
  <c r="BO200" i="1"/>
  <c r="BJ201" i="1"/>
  <c r="BJ202" i="1" l="1"/>
  <c r="BO201" i="1"/>
  <c r="BI205" i="1"/>
  <c r="BI206" i="1" l="1"/>
  <c r="BJ203" i="1"/>
  <c r="BO202" i="1"/>
  <c r="BI207" i="1" l="1"/>
  <c r="BO203" i="1"/>
  <c r="BJ204" i="1"/>
  <c r="BO204" i="1" l="1"/>
  <c r="BJ205" i="1"/>
  <c r="BI208" i="1"/>
  <c r="BI209" i="1" l="1"/>
  <c r="BJ206" i="1"/>
  <c r="BO205" i="1"/>
  <c r="BI210" i="1" l="1"/>
  <c r="BJ207" i="1"/>
  <c r="BO206" i="1"/>
  <c r="BO207" i="1" l="1"/>
  <c r="BJ208" i="1"/>
  <c r="BI211" i="1"/>
  <c r="BI212" i="1" l="1"/>
  <c r="BO208" i="1"/>
  <c r="BJ209" i="1"/>
  <c r="BJ210" i="1" l="1"/>
  <c r="BO209" i="1"/>
  <c r="BI213" i="1"/>
  <c r="BI214" i="1" l="1"/>
  <c r="BJ211" i="1"/>
  <c r="BO210" i="1"/>
  <c r="BO211" i="1" l="1"/>
  <c r="BJ212" i="1"/>
  <c r="BI215" i="1"/>
  <c r="BI216" i="1" l="1"/>
  <c r="BJ213" i="1"/>
  <c r="BO212" i="1"/>
  <c r="BJ214" i="1" l="1"/>
  <c r="BO213" i="1"/>
  <c r="BI217" i="1"/>
  <c r="BI218" i="1" l="1"/>
  <c r="BO214" i="1"/>
  <c r="BJ215" i="1"/>
  <c r="BI219" i="1" l="1"/>
  <c r="BO215" i="1"/>
  <c r="BJ216" i="1"/>
  <c r="BI220" i="1" l="1"/>
  <c r="BJ217" i="1"/>
  <c r="BO216" i="1"/>
  <c r="BJ218" i="1" l="1"/>
  <c r="BO217" i="1"/>
  <c r="BI221" i="1"/>
  <c r="BI222" i="1" l="1"/>
  <c r="BO218" i="1"/>
  <c r="BJ219" i="1"/>
  <c r="BO219" i="1" l="1"/>
  <c r="BJ220" i="1"/>
  <c r="BI223" i="1"/>
  <c r="BI224" i="1" l="1"/>
  <c r="BJ221" i="1"/>
  <c r="BO220" i="1"/>
  <c r="BJ222" i="1" l="1"/>
  <c r="BO221" i="1"/>
  <c r="BI225" i="1"/>
  <c r="BI226" i="1" l="1"/>
  <c r="BO222" i="1"/>
  <c r="BJ223" i="1"/>
  <c r="BO223" i="1" l="1"/>
  <c r="BJ224" i="1"/>
  <c r="BI227" i="1"/>
  <c r="BI228" i="1" l="1"/>
  <c r="BJ225" i="1"/>
  <c r="BO224" i="1"/>
  <c r="BJ226" i="1" l="1"/>
  <c r="BO225" i="1"/>
  <c r="BI229" i="1"/>
  <c r="BI230" i="1" l="1"/>
  <c r="BO226" i="1"/>
  <c r="BJ227" i="1"/>
  <c r="BO227" i="1" l="1"/>
  <c r="BJ228" i="1"/>
  <c r="BI231" i="1"/>
  <c r="BI232" i="1" l="1"/>
  <c r="BJ229" i="1"/>
  <c r="BO228" i="1"/>
  <c r="BI233" i="1" l="1"/>
  <c r="BJ230" i="1"/>
  <c r="BO229" i="1"/>
  <c r="BO230" i="1" l="1"/>
  <c r="BJ231" i="1"/>
  <c r="BI234" i="1"/>
  <c r="BI235" i="1" l="1"/>
  <c r="BO231" i="1"/>
  <c r="BJ232" i="1"/>
  <c r="BI236" i="1" l="1"/>
  <c r="BJ233" i="1"/>
  <c r="BO232" i="1"/>
  <c r="BJ234" i="1" l="1"/>
  <c r="BO233" i="1"/>
  <c r="BI237" i="1"/>
  <c r="BI238" i="1" l="1"/>
  <c r="BO234" i="1"/>
  <c r="BJ235" i="1"/>
  <c r="BO235" i="1" l="1"/>
  <c r="BJ236" i="1"/>
  <c r="BI239" i="1"/>
  <c r="BJ237" i="1" l="1"/>
  <c r="BO236" i="1"/>
  <c r="BI240" i="1"/>
  <c r="BJ238" i="1" l="1"/>
  <c r="BO237" i="1"/>
  <c r="BI241" i="1"/>
  <c r="BI242" i="1" l="1"/>
  <c r="BO238" i="1"/>
  <c r="BJ239" i="1"/>
  <c r="BJ240" i="1" s="1"/>
  <c r="BI243" i="1" l="1"/>
  <c r="BO239" i="1"/>
  <c r="BJ241" i="1" l="1"/>
  <c r="BO240" i="1"/>
  <c r="BI244" i="1"/>
  <c r="BI245" i="1" l="1"/>
  <c r="BJ242" i="1"/>
  <c r="BO241" i="1"/>
  <c r="BO242" i="1" l="1"/>
  <c r="BJ243" i="1"/>
  <c r="BI246" i="1"/>
  <c r="BI247" i="1" l="1"/>
  <c r="BO243" i="1"/>
  <c r="BJ244" i="1"/>
  <c r="BJ245" i="1" l="1"/>
  <c r="BO244" i="1"/>
  <c r="BI248" i="1"/>
  <c r="BI249" i="1" l="1"/>
  <c r="BJ246" i="1"/>
  <c r="BO245" i="1"/>
  <c r="BO246" i="1" l="1"/>
  <c r="BJ247" i="1"/>
  <c r="BI250" i="1"/>
  <c r="BI251" i="1" l="1"/>
  <c r="BO247" i="1"/>
  <c r="BJ248" i="1"/>
  <c r="BI252" i="1" l="1"/>
  <c r="BJ249" i="1"/>
  <c r="BO248" i="1"/>
  <c r="BJ250" i="1" l="1"/>
  <c r="BO249" i="1"/>
  <c r="BI253" i="1"/>
  <c r="BI254" i="1" l="1"/>
  <c r="BO250" i="1"/>
  <c r="BJ251" i="1"/>
  <c r="BI255" i="1" l="1"/>
  <c r="BO251" i="1"/>
  <c r="BJ252" i="1"/>
  <c r="BI256" i="1" l="1"/>
  <c r="BJ253" i="1"/>
  <c r="BO252" i="1"/>
  <c r="BJ254" i="1" l="1"/>
  <c r="BO253" i="1"/>
  <c r="BI257" i="1"/>
  <c r="BI258" i="1" l="1"/>
  <c r="BO254" i="1"/>
  <c r="BJ255" i="1"/>
  <c r="BI259" i="1" l="1"/>
  <c r="BO255" i="1"/>
  <c r="BJ256" i="1"/>
  <c r="BJ257" i="1" l="1"/>
  <c r="BO256" i="1"/>
  <c r="BI260" i="1"/>
  <c r="BI261" i="1" l="1"/>
  <c r="BJ258" i="1"/>
  <c r="BO257" i="1"/>
  <c r="BO258" i="1" l="1"/>
  <c r="BJ259" i="1"/>
  <c r="BI262" i="1"/>
  <c r="BI263" i="1" l="1"/>
  <c r="BO259" i="1"/>
  <c r="BJ260" i="1"/>
  <c r="BJ261" i="1" l="1"/>
  <c r="BO260" i="1"/>
  <c r="BI264" i="1"/>
  <c r="BJ262" i="1" l="1"/>
  <c r="BO261" i="1"/>
  <c r="BI265" i="1"/>
  <c r="BI266" i="1" l="1"/>
  <c r="BO262" i="1"/>
  <c r="BJ263" i="1"/>
  <c r="BO263" i="1" l="1"/>
  <c r="BJ264" i="1"/>
  <c r="BI267" i="1"/>
  <c r="BI268" i="1" l="1"/>
  <c r="BJ265" i="1"/>
  <c r="BO264" i="1"/>
  <c r="BJ266" i="1" l="1"/>
  <c r="BO265" i="1"/>
  <c r="BI269" i="1"/>
  <c r="BI270" i="1" l="1"/>
  <c r="BO266" i="1"/>
  <c r="BJ267" i="1"/>
  <c r="BO267" i="1" l="1"/>
  <c r="BJ268" i="1"/>
  <c r="BI271" i="1"/>
  <c r="BI272" i="1" l="1"/>
  <c r="BJ269" i="1"/>
  <c r="BO268" i="1"/>
  <c r="BJ270" i="1" l="1"/>
  <c r="BO269" i="1"/>
  <c r="BI273" i="1"/>
  <c r="BI274" i="1" l="1"/>
  <c r="BO270" i="1"/>
  <c r="BJ271" i="1"/>
  <c r="BO271" i="1" l="1"/>
  <c r="BJ272" i="1"/>
  <c r="BI275" i="1"/>
  <c r="BI276" i="1" l="1"/>
  <c r="BJ273" i="1"/>
  <c r="BO272" i="1"/>
  <c r="BJ274" i="1" l="1"/>
  <c r="BO273" i="1"/>
  <c r="BI277" i="1"/>
  <c r="BO274" i="1" l="1"/>
  <c r="BJ275" i="1"/>
  <c r="BI278" i="1"/>
  <c r="BI279" i="1" l="1"/>
  <c r="BO275" i="1"/>
  <c r="BJ276" i="1"/>
  <c r="BJ277" i="1" l="1"/>
  <c r="BO276" i="1"/>
  <c r="BI280" i="1"/>
  <c r="BI281" i="1" l="1"/>
  <c r="BJ278" i="1"/>
  <c r="BO277" i="1"/>
  <c r="BO278" i="1" l="1"/>
  <c r="BJ279" i="1"/>
  <c r="BI282" i="1"/>
  <c r="BO279" i="1" l="1"/>
  <c r="BJ280" i="1"/>
  <c r="BI283" i="1"/>
  <c r="BI284" i="1" l="1"/>
  <c r="BJ281" i="1"/>
  <c r="BO280" i="1"/>
  <c r="BJ282" i="1" l="1"/>
  <c r="BO281" i="1"/>
  <c r="BI285" i="1"/>
  <c r="BO282" i="1" l="1"/>
  <c r="BJ283" i="1"/>
  <c r="BI286" i="1"/>
  <c r="BI287" i="1" l="1"/>
  <c r="BO283" i="1"/>
  <c r="BJ284" i="1"/>
  <c r="BJ285" i="1" l="1"/>
  <c r="BO284" i="1"/>
  <c r="BI288" i="1"/>
  <c r="BJ286" i="1" l="1"/>
  <c r="BO285" i="1"/>
  <c r="BI289" i="1"/>
  <c r="BI290" i="1" l="1"/>
  <c r="BO286" i="1"/>
  <c r="BJ287" i="1"/>
  <c r="BO287" i="1" l="1"/>
  <c r="BJ288" i="1"/>
  <c r="BI291" i="1"/>
  <c r="BI292" i="1" l="1"/>
  <c r="BJ289" i="1"/>
  <c r="BO288" i="1"/>
  <c r="BJ290" i="1" l="1"/>
  <c r="BO289" i="1"/>
  <c r="BI293" i="1"/>
  <c r="BO290" i="1" l="1"/>
  <c r="BJ291" i="1"/>
  <c r="BI294" i="1"/>
  <c r="BO291" i="1" l="1"/>
  <c r="BJ292" i="1"/>
  <c r="BI295" i="1"/>
  <c r="BJ293" i="1" l="1"/>
  <c r="BO292" i="1"/>
  <c r="BI296" i="1"/>
  <c r="BI297" i="1" l="1"/>
  <c r="BJ294" i="1"/>
  <c r="BO293" i="1"/>
  <c r="BI298" i="1" l="1"/>
  <c r="BO294" i="1"/>
  <c r="BJ295" i="1"/>
  <c r="BO295" i="1" l="1"/>
  <c r="BJ296" i="1"/>
  <c r="BI299" i="1"/>
  <c r="BI300" i="1" l="1"/>
  <c r="BJ297" i="1"/>
  <c r="BO296" i="1"/>
  <c r="BJ298" i="1" l="1"/>
  <c r="BO297" i="1"/>
  <c r="BI301" i="1"/>
  <c r="BI302" i="1" l="1"/>
  <c r="BO298" i="1"/>
  <c r="BJ299" i="1"/>
  <c r="BO299" i="1" l="1"/>
  <c r="BJ300" i="1"/>
  <c r="BI303" i="1"/>
  <c r="BI304" i="1" l="1"/>
  <c r="BJ301" i="1"/>
  <c r="BO300" i="1"/>
  <c r="BJ302" i="1" l="1"/>
  <c r="BO301" i="1"/>
  <c r="BI305" i="1"/>
  <c r="BO302" i="1" l="1"/>
  <c r="BJ303" i="1"/>
  <c r="BI306" i="1"/>
  <c r="BI307" i="1" l="1"/>
  <c r="BO303" i="1"/>
  <c r="BJ304" i="1"/>
  <c r="BI308" i="1" l="1"/>
  <c r="BJ305" i="1"/>
  <c r="BO304" i="1"/>
  <c r="BJ306" i="1" l="1"/>
  <c r="BO305" i="1"/>
  <c r="BI309" i="1"/>
  <c r="BI310" i="1" l="1"/>
  <c r="BO306" i="1"/>
  <c r="BJ307" i="1"/>
  <c r="BO307" i="1" l="1"/>
  <c r="BJ308" i="1"/>
  <c r="BI311" i="1"/>
  <c r="BJ309" i="1" l="1"/>
  <c r="BO308" i="1"/>
  <c r="BI312" i="1"/>
  <c r="BI313" i="1" l="1"/>
  <c r="BJ310" i="1"/>
  <c r="BO309" i="1"/>
  <c r="BO310" i="1" l="1"/>
  <c r="BJ311" i="1"/>
  <c r="BI314" i="1"/>
  <c r="BI315" i="1" l="1"/>
  <c r="BO311" i="1"/>
  <c r="BJ312" i="1"/>
  <c r="BJ313" i="1" l="1"/>
  <c r="BO312" i="1"/>
  <c r="BI316" i="1"/>
  <c r="BJ314" i="1" l="1"/>
  <c r="BO313" i="1"/>
  <c r="BI317" i="1"/>
  <c r="BI318" i="1" l="1"/>
  <c r="BO314" i="1"/>
  <c r="BJ315" i="1"/>
  <c r="BO315" i="1" l="1"/>
  <c r="BJ316" i="1"/>
  <c r="BI319" i="1"/>
  <c r="BI320" i="1" l="1"/>
  <c r="BJ317" i="1"/>
  <c r="BO316" i="1"/>
  <c r="BJ318" i="1" l="1"/>
  <c r="BO317" i="1"/>
  <c r="BI321" i="1"/>
  <c r="BI322" i="1" l="1"/>
  <c r="BO318" i="1"/>
  <c r="BJ319" i="1"/>
  <c r="BI323" i="1" l="1"/>
  <c r="BO319" i="1"/>
  <c r="BJ320" i="1"/>
  <c r="BJ321" i="1" l="1"/>
  <c r="BO320" i="1"/>
  <c r="BI324" i="1"/>
  <c r="BI325" i="1" l="1"/>
  <c r="BJ322" i="1"/>
  <c r="BO321" i="1"/>
  <c r="BO322" i="1" l="1"/>
  <c r="BJ323" i="1"/>
  <c r="BI326" i="1"/>
  <c r="BO323" i="1" l="1"/>
  <c r="BJ324" i="1"/>
  <c r="BI327" i="1"/>
  <c r="BI328" i="1" l="1"/>
  <c r="BJ325" i="1"/>
  <c r="BO324" i="1"/>
  <c r="BJ326" i="1" l="1"/>
  <c r="BO325" i="1"/>
  <c r="BI329" i="1"/>
  <c r="BI330" i="1" l="1"/>
  <c r="BO326" i="1"/>
  <c r="BJ327" i="1"/>
  <c r="BO327" i="1" l="1"/>
  <c r="BJ328" i="1"/>
  <c r="BI331" i="1"/>
  <c r="BI332" i="1" l="1"/>
  <c r="BJ329" i="1"/>
  <c r="BO328" i="1"/>
  <c r="BI333" i="1" l="1"/>
  <c r="BJ330" i="1"/>
  <c r="BO329" i="1"/>
  <c r="BO330" i="1" l="1"/>
  <c r="BJ331" i="1"/>
  <c r="BI334" i="1"/>
  <c r="BI335" i="1" l="1"/>
  <c r="BO331" i="1"/>
  <c r="BJ332" i="1"/>
  <c r="BI336" i="1" l="1"/>
  <c r="BJ333" i="1"/>
  <c r="BO332" i="1"/>
  <c r="BJ334" i="1" l="1"/>
  <c r="BO333" i="1"/>
  <c r="BI337" i="1"/>
  <c r="BI338" i="1" l="1"/>
  <c r="BO334" i="1"/>
  <c r="BJ335" i="1"/>
  <c r="BO335" i="1" l="1"/>
  <c r="BJ336" i="1"/>
  <c r="BI339" i="1"/>
  <c r="BI340" i="1" l="1"/>
  <c r="BJ337" i="1"/>
  <c r="BO336" i="1"/>
  <c r="BJ338" i="1" l="1"/>
  <c r="BO337" i="1"/>
  <c r="BI341" i="1"/>
  <c r="BI342" i="1" l="1"/>
  <c r="BO338" i="1"/>
  <c r="BJ339" i="1"/>
  <c r="BO339" i="1" l="1"/>
  <c r="BJ340" i="1"/>
  <c r="BI343" i="1"/>
  <c r="BJ341" i="1" l="1"/>
  <c r="BO340" i="1"/>
  <c r="BI344" i="1"/>
  <c r="BJ342" i="1" l="1"/>
  <c r="BO341" i="1"/>
  <c r="BI345" i="1"/>
  <c r="BI346" i="1" l="1"/>
  <c r="BO342" i="1"/>
  <c r="BJ343" i="1"/>
  <c r="BI347" i="1" l="1"/>
  <c r="BO343" i="1"/>
  <c r="BJ344" i="1"/>
  <c r="BI348" i="1" l="1"/>
  <c r="BJ345" i="1"/>
  <c r="BO344" i="1"/>
  <c r="BJ346" i="1" l="1"/>
  <c r="BO345" i="1"/>
  <c r="BI349" i="1"/>
  <c r="BI350" i="1" l="1"/>
  <c r="BO346" i="1"/>
  <c r="BJ347" i="1"/>
  <c r="BO347" i="1" l="1"/>
  <c r="BJ348" i="1"/>
  <c r="BI351" i="1"/>
  <c r="BI352" i="1" l="1"/>
  <c r="BJ349" i="1"/>
  <c r="BO348" i="1"/>
  <c r="BJ350" i="1" l="1"/>
  <c r="BO349" i="1"/>
  <c r="BI353" i="1"/>
  <c r="BI354" i="1" l="1"/>
  <c r="BO350" i="1"/>
  <c r="BJ351" i="1"/>
  <c r="BO351" i="1" l="1"/>
  <c r="BJ352" i="1"/>
  <c r="BI355" i="1"/>
  <c r="BI356" i="1" l="1"/>
  <c r="BJ353" i="1"/>
  <c r="BO352" i="1"/>
  <c r="BJ354" i="1" l="1"/>
  <c r="BO353" i="1"/>
  <c r="BI357" i="1"/>
  <c r="BI358" i="1" l="1"/>
  <c r="BO354" i="1"/>
  <c r="BJ355" i="1"/>
  <c r="BO355" i="1" l="1"/>
  <c r="BJ356" i="1"/>
  <c r="BI359" i="1"/>
  <c r="BI360" i="1" l="1"/>
  <c r="BJ357" i="1"/>
  <c r="BO356" i="1"/>
  <c r="BJ358" i="1" l="1"/>
  <c r="BO357" i="1"/>
  <c r="BI361" i="1"/>
  <c r="BO358" i="1" l="1"/>
  <c r="BJ359" i="1"/>
  <c r="BI362" i="1"/>
  <c r="BI363" i="1" l="1"/>
  <c r="BO359" i="1"/>
  <c r="BJ360" i="1"/>
  <c r="BJ361" i="1" l="1"/>
  <c r="BO360" i="1"/>
  <c r="BI364" i="1"/>
  <c r="BI365" i="1" l="1"/>
  <c r="BJ362" i="1"/>
  <c r="BO361" i="1"/>
  <c r="BO362" i="1" l="1"/>
  <c r="BJ363" i="1"/>
  <c r="BI366" i="1"/>
  <c r="BI367" i="1" l="1"/>
  <c r="BO363" i="1"/>
  <c r="BJ364" i="1"/>
  <c r="BI368" i="1" l="1"/>
  <c r="BJ365" i="1"/>
  <c r="BO364" i="1"/>
  <c r="BJ366" i="1" l="1"/>
  <c r="BO365" i="1"/>
  <c r="BI369" i="1"/>
  <c r="BI370" i="1" l="1"/>
  <c r="BO366" i="1"/>
  <c r="BJ367" i="1"/>
  <c r="BO367" i="1" l="1"/>
  <c r="BJ368" i="1"/>
  <c r="BI371" i="1"/>
  <c r="BI372" i="1" l="1"/>
  <c r="BJ369" i="1"/>
  <c r="BO368" i="1"/>
  <c r="BI373" i="1" l="1"/>
  <c r="BJ370" i="1"/>
  <c r="BO369" i="1"/>
  <c r="BO370" i="1" l="1"/>
  <c r="BJ371" i="1"/>
  <c r="BI374" i="1"/>
  <c r="BI375" i="1" l="1"/>
  <c r="BO371" i="1"/>
  <c r="BJ372" i="1"/>
  <c r="BI376" i="1" l="1"/>
  <c r="BJ373" i="1"/>
  <c r="BO372" i="1"/>
  <c r="BJ374" i="1" l="1"/>
  <c r="BO373" i="1"/>
  <c r="BI377" i="1"/>
  <c r="BI378" i="1" l="1"/>
  <c r="BO374" i="1"/>
  <c r="BJ375" i="1"/>
  <c r="BO375" i="1" l="1"/>
  <c r="BJ376" i="1"/>
  <c r="BI379" i="1"/>
  <c r="BJ377" i="1" l="1"/>
  <c r="BO376" i="1"/>
  <c r="BI380" i="1"/>
  <c r="BI381" i="1" l="1"/>
  <c r="BJ378" i="1"/>
  <c r="BO377" i="1"/>
  <c r="BO378" i="1" l="1"/>
  <c r="BJ379" i="1"/>
  <c r="BI382" i="1"/>
  <c r="BI383" i="1" l="1"/>
  <c r="BO379" i="1"/>
  <c r="BJ380" i="1"/>
  <c r="BJ381" i="1" l="1"/>
  <c r="BO380" i="1"/>
  <c r="BI384" i="1"/>
  <c r="BJ382" i="1" l="1"/>
  <c r="BO381" i="1"/>
  <c r="BI385" i="1"/>
  <c r="BI386" i="1" l="1"/>
  <c r="BO382" i="1"/>
  <c r="BJ383" i="1"/>
  <c r="BO383" i="1" l="1"/>
  <c r="BJ384" i="1"/>
  <c r="BI387" i="1"/>
  <c r="BI388" i="1" l="1"/>
  <c r="BJ385" i="1"/>
  <c r="BO384" i="1"/>
  <c r="BJ386" i="1" l="1"/>
  <c r="BO385" i="1"/>
  <c r="BI389" i="1"/>
  <c r="BI390" i="1" l="1"/>
  <c r="BO386" i="1"/>
  <c r="BJ387" i="1"/>
  <c r="BI391" i="1" l="1"/>
  <c r="BO387" i="1"/>
  <c r="BJ388" i="1"/>
  <c r="BI392" i="1" l="1"/>
  <c r="BJ389" i="1"/>
  <c r="BO388" i="1"/>
  <c r="BI393" i="1" l="1"/>
  <c r="BJ390" i="1"/>
  <c r="BO389" i="1"/>
  <c r="BO390" i="1" l="1"/>
  <c r="BJ391" i="1"/>
  <c r="BI394" i="1"/>
  <c r="BI395" i="1" l="1"/>
  <c r="BO391" i="1"/>
  <c r="BJ392" i="1"/>
  <c r="BO392" i="1" l="1"/>
  <c r="BJ393" i="1"/>
  <c r="BI396" i="1"/>
  <c r="BI397" i="1" l="1"/>
  <c r="BJ394" i="1"/>
  <c r="BO393" i="1"/>
  <c r="BJ395" i="1" l="1"/>
  <c r="BO394" i="1"/>
  <c r="BI398" i="1"/>
  <c r="BO395" i="1" l="1"/>
  <c r="BJ396" i="1"/>
  <c r="BI399" i="1"/>
  <c r="BI400" i="1" l="1"/>
  <c r="BO396" i="1"/>
  <c r="BJ397" i="1"/>
  <c r="BJ398" i="1" l="1"/>
  <c r="BO397" i="1"/>
  <c r="BI401" i="1"/>
  <c r="BJ399" i="1" l="1"/>
  <c r="BO398" i="1"/>
  <c r="BI402" i="1"/>
  <c r="BO399" i="1" l="1"/>
  <c r="BJ400" i="1"/>
  <c r="BI403" i="1"/>
  <c r="BI404" i="1" l="1"/>
  <c r="BJ401" i="1"/>
  <c r="BO400" i="1"/>
  <c r="BI405" i="1" l="1"/>
  <c r="BJ402" i="1"/>
  <c r="BO401" i="1"/>
  <c r="BO402" i="1" l="1"/>
  <c r="BJ403" i="1"/>
  <c r="BI406" i="1"/>
  <c r="BI407" i="1" l="1"/>
  <c r="BO403" i="1"/>
  <c r="BJ404" i="1"/>
  <c r="BJ405" i="1" l="1"/>
  <c r="BO404" i="1"/>
  <c r="BI408" i="1"/>
  <c r="BI409" i="1" l="1"/>
  <c r="BJ406" i="1"/>
  <c r="BO405" i="1"/>
  <c r="BO406" i="1" l="1"/>
  <c r="BJ407" i="1"/>
  <c r="BI410" i="1"/>
  <c r="BI411" i="1" l="1"/>
  <c r="BO407" i="1"/>
  <c r="BJ408" i="1"/>
  <c r="BO408" i="1" l="1"/>
  <c r="BJ409" i="1"/>
  <c r="BI412" i="1"/>
  <c r="BI413" i="1" l="1"/>
  <c r="BJ410" i="1"/>
  <c r="BO409" i="1"/>
  <c r="BJ411" i="1" l="1"/>
  <c r="BO410" i="1"/>
  <c r="BI414" i="1"/>
  <c r="BO411" i="1" l="1"/>
  <c r="BJ412" i="1"/>
  <c r="BI415" i="1"/>
  <c r="BO412" i="1" l="1"/>
  <c r="BJ413" i="1"/>
  <c r="BI416" i="1"/>
  <c r="BI417" i="1" l="1"/>
  <c r="BJ414" i="1"/>
  <c r="BO413" i="1"/>
  <c r="BJ415" i="1" l="1"/>
  <c r="BO414" i="1"/>
  <c r="BI418" i="1"/>
  <c r="BO415" i="1" l="1"/>
  <c r="BJ416" i="1"/>
  <c r="BI419" i="1"/>
  <c r="BI420" i="1" l="1"/>
  <c r="BO416" i="1"/>
  <c r="BJ417" i="1"/>
  <c r="BI421" i="1" l="1"/>
  <c r="BJ418" i="1"/>
  <c r="BO417" i="1"/>
  <c r="BO418" i="1" l="1"/>
  <c r="BJ419" i="1"/>
  <c r="BI422" i="1"/>
  <c r="BO419" i="1" l="1"/>
  <c r="BJ420" i="1"/>
  <c r="BI423" i="1"/>
  <c r="BI424" i="1" l="1"/>
  <c r="BJ421" i="1"/>
  <c r="BO420" i="1"/>
  <c r="BJ422" i="1" l="1"/>
  <c r="BO421" i="1"/>
  <c r="BI425" i="1"/>
  <c r="BO422" i="1" l="1"/>
  <c r="BJ423" i="1"/>
  <c r="BI426" i="1"/>
  <c r="BI427" i="1" l="1"/>
  <c r="BO423" i="1"/>
  <c r="BJ424" i="1"/>
  <c r="BJ425" i="1" l="1"/>
  <c r="BO424" i="1"/>
  <c r="BI428" i="1"/>
  <c r="BI429" i="1" l="1"/>
  <c r="BJ426" i="1"/>
  <c r="BO425" i="1"/>
  <c r="BO426" i="1" l="1"/>
  <c r="BJ427" i="1"/>
  <c r="BI430" i="1"/>
  <c r="BO427" i="1" l="1"/>
  <c r="BJ428" i="1"/>
  <c r="BI431" i="1"/>
  <c r="BI432" i="1" l="1"/>
  <c r="BJ429" i="1"/>
  <c r="BO428" i="1"/>
  <c r="BJ430" i="1" l="1"/>
  <c r="BO429" i="1"/>
  <c r="BI433" i="1"/>
  <c r="BI434" i="1" l="1"/>
  <c r="BO430" i="1"/>
  <c r="BJ431" i="1"/>
  <c r="BO431" i="1" l="1"/>
  <c r="BJ432" i="1"/>
  <c r="BI435" i="1"/>
  <c r="BJ433" i="1" l="1"/>
  <c r="BO432" i="1"/>
  <c r="BI436" i="1"/>
  <c r="BJ434" i="1" l="1"/>
  <c r="BO433" i="1"/>
  <c r="BI437" i="1"/>
  <c r="BI438" i="1" l="1"/>
  <c r="BO434" i="1"/>
  <c r="BJ435" i="1"/>
  <c r="BI439" i="1" l="1"/>
  <c r="BO435" i="1"/>
  <c r="BJ436" i="1"/>
  <c r="BI440" i="1" l="1"/>
  <c r="BJ437" i="1"/>
  <c r="BO436" i="1"/>
  <c r="BJ438" i="1" l="1"/>
  <c r="BO437" i="1"/>
  <c r="BI441" i="1"/>
  <c r="BO438" i="1" l="1"/>
  <c r="BJ439" i="1"/>
  <c r="BI442" i="1"/>
  <c r="BO439" i="1" l="1"/>
  <c r="BJ440" i="1"/>
  <c r="BI443" i="1"/>
  <c r="BI444" i="1" l="1"/>
  <c r="BJ441" i="1"/>
  <c r="BO440" i="1"/>
  <c r="BJ442" i="1" l="1"/>
  <c r="BO441" i="1"/>
  <c r="BI445" i="1"/>
  <c r="BO442" i="1" l="1"/>
  <c r="BJ443" i="1"/>
  <c r="BI446" i="1"/>
  <c r="BI447" i="1" l="1"/>
  <c r="BO443" i="1"/>
  <c r="BJ444" i="1"/>
  <c r="BI448" i="1" l="1"/>
  <c r="BJ445" i="1"/>
  <c r="BO444" i="1"/>
  <c r="BJ446" i="1" l="1"/>
  <c r="BO445" i="1"/>
  <c r="BI449" i="1"/>
  <c r="BO446" i="1" l="1"/>
  <c r="BJ447" i="1"/>
  <c r="BI450" i="1"/>
  <c r="BO447" i="1" l="1"/>
  <c r="BJ448" i="1"/>
  <c r="BI451" i="1"/>
  <c r="BI452" i="1" l="1"/>
  <c r="BJ449" i="1"/>
  <c r="BO448" i="1"/>
  <c r="BI453" i="1" l="1"/>
  <c r="BJ450" i="1"/>
  <c r="BO449" i="1"/>
  <c r="BO450" i="1" l="1"/>
  <c r="BJ451" i="1"/>
  <c r="BI454" i="1"/>
  <c r="BI455" i="1" l="1"/>
  <c r="BO451" i="1"/>
  <c r="BJ452" i="1"/>
  <c r="BJ453" i="1" l="1"/>
  <c r="BO452" i="1"/>
  <c r="BI456" i="1"/>
  <c r="BI457" i="1" l="1"/>
  <c r="BJ454" i="1"/>
  <c r="BO453" i="1"/>
  <c r="BO454" i="1" l="1"/>
  <c r="BJ455" i="1"/>
  <c r="BI458" i="1"/>
  <c r="BI459" i="1" l="1"/>
  <c r="BO455" i="1"/>
  <c r="BJ456" i="1"/>
  <c r="BJ457" i="1" l="1"/>
  <c r="BO456" i="1"/>
  <c r="BI460" i="1"/>
  <c r="BI461" i="1" l="1"/>
  <c r="BJ458" i="1"/>
  <c r="BO457" i="1"/>
  <c r="BO458" i="1" l="1"/>
  <c r="BJ459" i="1"/>
  <c r="BI462" i="1"/>
  <c r="BI463" i="1" l="1"/>
  <c r="BO459" i="1"/>
  <c r="BJ460" i="1"/>
  <c r="BJ461" i="1" l="1"/>
  <c r="BO460" i="1"/>
  <c r="BI464" i="1"/>
  <c r="BI465" i="1" l="1"/>
  <c r="BJ462" i="1"/>
  <c r="BO461" i="1"/>
  <c r="BO462" i="1" l="1"/>
  <c r="BJ463" i="1"/>
  <c r="BI466" i="1"/>
  <c r="BI467" i="1" l="1"/>
  <c r="BO463" i="1"/>
  <c r="BJ464" i="1"/>
  <c r="BJ465" i="1" l="1"/>
  <c r="BO464" i="1"/>
  <c r="BI468" i="1"/>
  <c r="BI469" i="1" l="1"/>
  <c r="BJ466" i="1"/>
  <c r="BO465" i="1"/>
  <c r="BO466" i="1" l="1"/>
  <c r="BJ467" i="1"/>
  <c r="BI470" i="1"/>
  <c r="BI471" i="1" l="1"/>
  <c r="BO467" i="1"/>
  <c r="BJ468" i="1"/>
  <c r="BJ469" i="1" l="1"/>
  <c r="BO468" i="1"/>
  <c r="BI472" i="1"/>
  <c r="BI473" i="1" l="1"/>
  <c r="BJ470" i="1"/>
  <c r="BO469" i="1"/>
  <c r="BO470" i="1" l="1"/>
  <c r="BJ471" i="1"/>
  <c r="BI474" i="1"/>
  <c r="BI475" i="1" l="1"/>
  <c r="BO471" i="1"/>
  <c r="BJ472" i="1"/>
  <c r="BI476" i="1" l="1"/>
  <c r="BJ473" i="1"/>
  <c r="BO472" i="1"/>
  <c r="BJ474" i="1" l="1"/>
  <c r="BO473" i="1"/>
  <c r="BI477" i="1"/>
  <c r="BI478" i="1" l="1"/>
  <c r="BO474" i="1"/>
  <c r="BJ475" i="1"/>
  <c r="BO475" i="1" l="1"/>
  <c r="BJ476" i="1"/>
  <c r="BI479" i="1"/>
  <c r="BI480" i="1" l="1"/>
  <c r="BJ477" i="1"/>
  <c r="BO476" i="1"/>
  <c r="BJ478" i="1" l="1"/>
  <c r="BO477" i="1"/>
  <c r="BI481" i="1"/>
  <c r="BI482" i="1" l="1"/>
  <c r="BO478" i="1"/>
  <c r="BJ479" i="1"/>
  <c r="BO479" i="1" l="1"/>
  <c r="BJ480" i="1"/>
  <c r="BI483" i="1"/>
  <c r="BI484" i="1" l="1"/>
  <c r="BJ481" i="1"/>
  <c r="BO480" i="1"/>
  <c r="BJ482" i="1" l="1"/>
  <c r="BO481" i="1"/>
  <c r="BI485" i="1"/>
  <c r="BI486" i="1" l="1"/>
  <c r="BO482" i="1"/>
  <c r="BJ483" i="1"/>
  <c r="BO483" i="1" l="1"/>
  <c r="BJ484" i="1"/>
  <c r="BI487" i="1"/>
  <c r="BJ485" i="1" l="1"/>
  <c r="BO484" i="1"/>
  <c r="BI488" i="1"/>
  <c r="BI489" i="1" l="1"/>
  <c r="BJ486" i="1"/>
  <c r="BO485" i="1"/>
  <c r="BO486" i="1" l="1"/>
  <c r="BJ487" i="1"/>
  <c r="BI490" i="1"/>
  <c r="BI491" i="1" l="1"/>
  <c r="BO487" i="1"/>
  <c r="BJ488" i="1"/>
  <c r="BI492" i="1" l="1"/>
  <c r="BJ489" i="1"/>
  <c r="BO488" i="1"/>
  <c r="BJ490" i="1" l="1"/>
  <c r="BO489" i="1"/>
  <c r="BI493" i="1"/>
  <c r="BI494" i="1" l="1"/>
  <c r="BO490" i="1"/>
  <c r="BJ491" i="1"/>
  <c r="BO491" i="1" l="1"/>
  <c r="BJ492" i="1"/>
  <c r="BI495" i="1"/>
  <c r="BI496" i="1" l="1"/>
  <c r="BJ493" i="1"/>
  <c r="BO492" i="1"/>
  <c r="BJ494" i="1" l="1"/>
  <c r="BO493" i="1"/>
  <c r="BI497" i="1"/>
  <c r="BI498" i="1" l="1"/>
  <c r="BO494" i="1"/>
  <c r="BJ495" i="1"/>
  <c r="BO495" i="1" l="1"/>
  <c r="BJ496" i="1"/>
  <c r="BI499" i="1"/>
  <c r="BI500" i="1" l="1"/>
  <c r="BJ497" i="1"/>
  <c r="BO496" i="1"/>
  <c r="BJ498" i="1" l="1"/>
  <c r="BO497" i="1"/>
  <c r="BI501" i="1"/>
  <c r="BI502" i="1" l="1"/>
  <c r="BO498" i="1"/>
  <c r="BJ499" i="1"/>
  <c r="BO499" i="1" l="1"/>
  <c r="BJ500" i="1"/>
  <c r="BI503" i="1"/>
  <c r="BI504" i="1" l="1"/>
  <c r="BJ501" i="1"/>
  <c r="BO500" i="1"/>
  <c r="BJ502" i="1" l="1"/>
  <c r="BO501" i="1"/>
  <c r="BI505" i="1"/>
  <c r="BI506" i="1" l="1"/>
  <c r="BO502" i="1"/>
  <c r="BJ503" i="1"/>
  <c r="BO503" i="1" l="1"/>
  <c r="BJ504" i="1"/>
  <c r="BI507" i="1"/>
  <c r="BI508" i="1" l="1"/>
  <c r="BJ505" i="1"/>
  <c r="BO504" i="1"/>
  <c r="BJ506" i="1" l="1"/>
  <c r="BO505" i="1"/>
  <c r="BI509" i="1"/>
  <c r="BI510" i="1" l="1"/>
  <c r="BO506" i="1"/>
  <c r="BJ507" i="1"/>
  <c r="BO507" i="1" l="1"/>
  <c r="BJ508" i="1"/>
  <c r="BI511" i="1"/>
  <c r="BJ509" i="1" l="1"/>
  <c r="BO508" i="1"/>
  <c r="BI512" i="1"/>
  <c r="BI513" i="1" l="1"/>
  <c r="BJ510" i="1"/>
  <c r="BO509" i="1"/>
  <c r="BO510" i="1" l="1"/>
  <c r="BJ511" i="1"/>
  <c r="BI514" i="1"/>
  <c r="BO511" i="1" l="1"/>
  <c r="BJ512" i="1"/>
  <c r="BI515" i="1"/>
  <c r="BI516" i="1" l="1"/>
  <c r="BO512" i="1"/>
  <c r="BJ513" i="1"/>
  <c r="BJ514" i="1" l="1"/>
  <c r="BO513" i="1"/>
  <c r="BI517" i="1"/>
  <c r="BI518" i="1" l="1"/>
  <c r="BJ515" i="1"/>
  <c r="BO514" i="1"/>
  <c r="BO515" i="1" l="1"/>
  <c r="BJ516" i="1"/>
  <c r="BI519" i="1"/>
  <c r="BO516" i="1" l="1"/>
  <c r="BJ517" i="1"/>
  <c r="BI520" i="1"/>
  <c r="BI521" i="1" l="1"/>
  <c r="BJ518" i="1"/>
  <c r="BO517" i="1"/>
  <c r="BO518" i="1" l="1"/>
  <c r="BJ519" i="1"/>
  <c r="BI522" i="1"/>
  <c r="BI523" i="1" l="1"/>
  <c r="BO519" i="1"/>
  <c r="BJ520" i="1"/>
  <c r="BI524" i="1" l="1"/>
  <c r="BJ521" i="1"/>
  <c r="BO520" i="1"/>
  <c r="BJ522" i="1" l="1"/>
  <c r="BO521" i="1"/>
  <c r="BI525" i="1"/>
  <c r="BI526" i="1" l="1"/>
  <c r="BO522" i="1"/>
  <c r="BJ523" i="1"/>
  <c r="BO523" i="1" l="1"/>
  <c r="BJ524" i="1"/>
  <c r="BI527" i="1"/>
  <c r="BI528" i="1" l="1"/>
  <c r="BO524" i="1"/>
  <c r="BJ525" i="1"/>
  <c r="BJ526" i="1" l="1"/>
  <c r="BO525" i="1"/>
  <c r="BI529" i="1"/>
  <c r="BI530" i="1" l="1"/>
  <c r="BJ527" i="1"/>
  <c r="BO526" i="1"/>
  <c r="BO527" i="1" l="1"/>
  <c r="BJ528" i="1"/>
  <c r="BI531" i="1"/>
  <c r="BI532" i="1" l="1"/>
  <c r="BO528" i="1"/>
  <c r="BJ529" i="1"/>
  <c r="BJ530" i="1" l="1"/>
  <c r="BO529" i="1"/>
  <c r="BI533" i="1"/>
  <c r="BI534" i="1" l="1"/>
  <c r="BJ531" i="1"/>
  <c r="BO530" i="1"/>
  <c r="BI535" i="1" l="1"/>
  <c r="BO531" i="1"/>
  <c r="BJ532" i="1"/>
  <c r="BJ533" i="1" l="1"/>
  <c r="BO532" i="1"/>
  <c r="BI536" i="1"/>
  <c r="BI537" i="1" l="1"/>
  <c r="BJ534" i="1"/>
  <c r="BO533" i="1"/>
  <c r="BI538" i="1" l="1"/>
  <c r="BO534" i="1"/>
  <c r="BJ535" i="1"/>
  <c r="BO535" i="1" l="1"/>
  <c r="BJ536" i="1"/>
  <c r="BI539" i="1"/>
  <c r="BI540" i="1" l="1"/>
  <c r="BJ537" i="1"/>
  <c r="BO536" i="1"/>
  <c r="BO537" i="1" l="1"/>
  <c r="BJ538" i="1"/>
  <c r="BI541" i="1"/>
  <c r="BI542" i="1" l="1"/>
  <c r="BO538" i="1"/>
  <c r="BJ539" i="1"/>
  <c r="BJ540" i="1" l="1"/>
  <c r="BO539" i="1"/>
  <c r="BI543" i="1"/>
  <c r="BI544" i="1" l="1"/>
  <c r="BJ541" i="1"/>
  <c r="BO540" i="1"/>
  <c r="BO541" i="1" l="1"/>
  <c r="BJ542" i="1"/>
  <c r="BI545" i="1"/>
  <c r="BI546" i="1" l="1"/>
  <c r="BO542" i="1"/>
  <c r="BJ543" i="1"/>
  <c r="BJ544" i="1" l="1"/>
  <c r="BO543" i="1"/>
  <c r="BI547" i="1"/>
  <c r="BJ545" i="1" l="1"/>
  <c r="BO544" i="1"/>
  <c r="BI548" i="1"/>
  <c r="BI549" i="1" l="1"/>
  <c r="BO545" i="1"/>
  <c r="BJ546" i="1"/>
  <c r="BO546" i="1" l="1"/>
  <c r="BJ547" i="1"/>
  <c r="BI550" i="1"/>
  <c r="BI551" i="1" l="1"/>
  <c r="BJ548" i="1"/>
  <c r="BO547" i="1"/>
  <c r="BJ549" i="1" l="1"/>
  <c r="BO548" i="1"/>
  <c r="BI552" i="1"/>
  <c r="BO549" i="1" l="1"/>
  <c r="BJ550" i="1"/>
  <c r="BI553" i="1"/>
  <c r="BI554" i="1" l="1"/>
  <c r="BO550" i="1"/>
  <c r="BJ551" i="1"/>
  <c r="BJ552" i="1" l="1"/>
  <c r="BO551" i="1"/>
  <c r="BI555" i="1"/>
  <c r="BI556" i="1" l="1"/>
  <c r="BJ553" i="1"/>
  <c r="BO552" i="1"/>
  <c r="BO553" i="1" l="1"/>
  <c r="BJ554" i="1"/>
  <c r="BI557" i="1"/>
  <c r="BO554" i="1" l="1"/>
  <c r="BJ555" i="1"/>
  <c r="BI558" i="1"/>
  <c r="BJ556" i="1" l="1"/>
  <c r="BO555" i="1"/>
  <c r="BI559" i="1"/>
  <c r="BI560" i="1" l="1"/>
  <c r="BJ557" i="1"/>
  <c r="BO556" i="1"/>
  <c r="BO557" i="1" l="1"/>
  <c r="BJ558" i="1"/>
  <c r="BI561" i="1"/>
  <c r="BO558" i="1" l="1"/>
  <c r="BJ559" i="1"/>
  <c r="BI562" i="1"/>
  <c r="BI563" i="1" l="1"/>
  <c r="BJ560" i="1"/>
  <c r="BO559" i="1"/>
  <c r="BJ561" i="1" l="1"/>
  <c r="BO560" i="1"/>
  <c r="BI564" i="1"/>
  <c r="BI565" i="1" l="1"/>
  <c r="BO561" i="1"/>
  <c r="BJ562" i="1"/>
  <c r="BO562" i="1" l="1"/>
  <c r="BJ563" i="1"/>
  <c r="BI566" i="1"/>
  <c r="BI567" i="1" l="1"/>
  <c r="BJ564" i="1"/>
  <c r="BO563" i="1"/>
  <c r="BJ565" i="1" l="1"/>
  <c r="BO564" i="1"/>
  <c r="BI568" i="1"/>
  <c r="BI569" i="1" l="1"/>
  <c r="BO565" i="1"/>
  <c r="BJ566" i="1"/>
  <c r="BI570" i="1" l="1"/>
  <c r="BO566" i="1"/>
  <c r="BJ567" i="1"/>
  <c r="BI571" i="1" l="1"/>
  <c r="BJ568" i="1"/>
  <c r="BO567" i="1"/>
  <c r="BJ569" i="1" l="1"/>
  <c r="BO568" i="1"/>
  <c r="BI572" i="1"/>
  <c r="BI573" i="1" l="1"/>
  <c r="BO569" i="1"/>
  <c r="BJ570" i="1"/>
  <c r="BO570" i="1" l="1"/>
  <c r="BJ571" i="1"/>
  <c r="BI574" i="1"/>
  <c r="BI575" i="1" l="1"/>
  <c r="BJ572" i="1"/>
  <c r="BO571" i="1"/>
  <c r="BJ573" i="1" l="1"/>
  <c r="BO572" i="1"/>
  <c r="BI576" i="1"/>
  <c r="BO573" i="1" l="1"/>
  <c r="BJ574" i="1"/>
  <c r="BI577" i="1"/>
  <c r="BI578" i="1" l="1"/>
  <c r="BO574" i="1"/>
  <c r="BJ575" i="1"/>
  <c r="BJ576" i="1" l="1"/>
  <c r="BO575" i="1"/>
  <c r="BI579" i="1"/>
  <c r="BI580" i="1" l="1"/>
  <c r="BJ577" i="1"/>
  <c r="BO576" i="1"/>
  <c r="BO577" i="1" l="1"/>
  <c r="BJ578" i="1"/>
  <c r="BI581" i="1"/>
  <c r="BI582" i="1" l="1"/>
  <c r="BO578" i="1"/>
  <c r="BJ579" i="1"/>
  <c r="BJ580" i="1" l="1"/>
  <c r="BO579" i="1"/>
  <c r="BI583" i="1"/>
  <c r="BI584" i="1" l="1"/>
  <c r="BJ581" i="1"/>
  <c r="BO580" i="1"/>
  <c r="BO581" i="1" l="1"/>
  <c r="BJ582" i="1"/>
  <c r="BI585" i="1"/>
  <c r="BI586" i="1" l="1"/>
  <c r="BO582" i="1"/>
  <c r="BJ583" i="1"/>
  <c r="BI587" i="1" l="1"/>
  <c r="BJ584" i="1"/>
  <c r="BO583" i="1"/>
  <c r="BJ585" i="1" l="1"/>
  <c r="BO584" i="1"/>
  <c r="BI588" i="1"/>
  <c r="BO585" i="1" l="1"/>
  <c r="BJ586" i="1"/>
  <c r="BI589" i="1"/>
  <c r="BI590" i="1" l="1"/>
  <c r="BO586" i="1"/>
  <c r="BJ587" i="1"/>
  <c r="BJ588" i="1" l="1"/>
  <c r="BO587" i="1"/>
  <c r="BI591" i="1"/>
  <c r="BJ589" i="1" l="1"/>
  <c r="BO588" i="1"/>
  <c r="BI592" i="1"/>
  <c r="BI593" i="1" l="1"/>
  <c r="BO589" i="1"/>
  <c r="BJ590" i="1"/>
  <c r="BO590" i="1" l="1"/>
  <c r="BJ591" i="1"/>
  <c r="BI594" i="1"/>
  <c r="BI595" i="1" l="1"/>
  <c r="BJ592" i="1"/>
  <c r="BO591" i="1"/>
  <c r="BJ593" i="1" l="1"/>
  <c r="BO592" i="1"/>
  <c r="BI596" i="1"/>
  <c r="BO593" i="1" l="1"/>
  <c r="BJ594" i="1"/>
  <c r="BI597" i="1"/>
  <c r="BI598" i="1" l="1"/>
  <c r="BO594" i="1"/>
  <c r="BJ595" i="1"/>
  <c r="BJ596" i="1" l="1"/>
  <c r="BO595" i="1"/>
  <c r="BI599" i="1"/>
  <c r="BI600" i="1" l="1"/>
  <c r="BJ597" i="1"/>
  <c r="BO596" i="1"/>
  <c r="BO597" i="1" l="1"/>
  <c r="BJ598" i="1"/>
  <c r="BI601" i="1"/>
  <c r="BO598" i="1" l="1"/>
  <c r="BJ599" i="1"/>
  <c r="BI602" i="1"/>
  <c r="BI603" i="1" l="1"/>
  <c r="BJ600" i="1"/>
  <c r="BO599" i="1"/>
  <c r="BJ601" i="1" l="1"/>
  <c r="BO600" i="1"/>
  <c r="BI604" i="1"/>
  <c r="BO601" i="1" l="1"/>
  <c r="BJ602" i="1"/>
  <c r="BI605" i="1"/>
  <c r="BI606" i="1" l="1"/>
  <c r="BO602" i="1"/>
  <c r="BJ603" i="1"/>
  <c r="BJ604" i="1" l="1"/>
  <c r="BO603" i="1"/>
  <c r="BI607" i="1"/>
  <c r="BI608" i="1" l="1"/>
  <c r="BJ605" i="1"/>
  <c r="BO604" i="1"/>
  <c r="BO605" i="1" l="1"/>
  <c r="BJ606" i="1"/>
  <c r="BI609" i="1"/>
  <c r="BO606" i="1" l="1"/>
  <c r="BJ607" i="1"/>
  <c r="BI610" i="1"/>
  <c r="BI611" i="1" l="1"/>
  <c r="BJ608" i="1"/>
  <c r="BO607" i="1"/>
  <c r="BJ609" i="1" l="1"/>
  <c r="BO608" i="1"/>
  <c r="BI612" i="1"/>
  <c r="BO609" i="1" l="1"/>
  <c r="BJ610" i="1"/>
  <c r="BI613" i="1"/>
  <c r="BI614" i="1" l="1"/>
  <c r="BO610" i="1"/>
  <c r="BJ611" i="1"/>
  <c r="BI615" i="1" l="1"/>
  <c r="BJ612" i="1"/>
  <c r="BO611" i="1"/>
  <c r="BI616" i="1" l="1"/>
  <c r="BJ613" i="1"/>
  <c r="BO612" i="1"/>
  <c r="BO613" i="1" l="1"/>
  <c r="BJ614" i="1"/>
  <c r="BI617" i="1"/>
  <c r="BO614" i="1" l="1"/>
  <c r="BJ615" i="1"/>
  <c r="BI618" i="1"/>
  <c r="BI619" i="1" l="1"/>
  <c r="BJ616" i="1"/>
  <c r="BO615" i="1"/>
  <c r="BJ617" i="1" l="1"/>
  <c r="BO616" i="1"/>
  <c r="BI620" i="1"/>
  <c r="BO617" i="1" l="1"/>
  <c r="BJ618" i="1"/>
  <c r="BI621" i="1"/>
  <c r="BI622" i="1" l="1"/>
  <c r="BO618" i="1"/>
  <c r="BJ619" i="1"/>
  <c r="BJ620" i="1" l="1"/>
  <c r="BO619" i="1"/>
  <c r="BI623" i="1"/>
  <c r="BI624" i="1" l="1"/>
  <c r="BJ621" i="1"/>
  <c r="BO620" i="1"/>
  <c r="BO621" i="1" l="1"/>
  <c r="BJ622" i="1"/>
  <c r="BI625" i="1"/>
  <c r="BI626" i="1" l="1"/>
  <c r="BO622" i="1"/>
  <c r="BJ623" i="1"/>
  <c r="BJ624" i="1" l="1"/>
  <c r="BO623" i="1"/>
  <c r="BI627" i="1"/>
  <c r="BI628" i="1" l="1"/>
  <c r="BJ625" i="1"/>
  <c r="BO624" i="1"/>
  <c r="BO625" i="1" l="1"/>
  <c r="BJ626" i="1"/>
  <c r="BI629" i="1"/>
  <c r="BI630" i="1" l="1"/>
  <c r="BO626" i="1"/>
  <c r="BJ627" i="1"/>
  <c r="BI631" i="1" l="1"/>
  <c r="BJ628" i="1"/>
  <c r="BO627" i="1"/>
  <c r="BJ629" i="1" l="1"/>
  <c r="BO628" i="1"/>
  <c r="BI632" i="1"/>
  <c r="BI633" i="1" l="1"/>
  <c r="BO629" i="1"/>
  <c r="BJ630" i="1"/>
  <c r="BO630" i="1" l="1"/>
  <c r="BJ631" i="1"/>
  <c r="BI634" i="1"/>
  <c r="BI635" i="1" l="1"/>
  <c r="BJ632" i="1"/>
  <c r="BO631" i="1"/>
  <c r="BI636" i="1" l="1"/>
  <c r="BJ633" i="1"/>
  <c r="BO632" i="1"/>
  <c r="BO633" i="1" l="1"/>
  <c r="BJ634" i="1"/>
  <c r="BI637" i="1"/>
  <c r="BI638" i="1" l="1"/>
  <c r="BO634" i="1"/>
  <c r="BJ635" i="1"/>
  <c r="BI639" i="1" l="1"/>
  <c r="BJ636" i="1"/>
  <c r="BO635" i="1"/>
  <c r="BJ637" i="1" l="1"/>
  <c r="BO636" i="1"/>
  <c r="BI640" i="1"/>
  <c r="BI641" i="1" l="1"/>
  <c r="BO637" i="1"/>
  <c r="BJ638" i="1"/>
  <c r="BO638" i="1" l="1"/>
  <c r="BJ639" i="1"/>
  <c r="BI642" i="1"/>
  <c r="BI643" i="1" l="1"/>
  <c r="BJ640" i="1"/>
  <c r="BO639" i="1"/>
  <c r="BJ641" i="1" l="1"/>
  <c r="BO640" i="1"/>
  <c r="BI644" i="1"/>
  <c r="BO641" i="1" l="1"/>
  <c r="BJ642" i="1"/>
  <c r="BI645" i="1"/>
  <c r="BI646" i="1" l="1"/>
  <c r="BO642" i="1"/>
  <c r="BJ643" i="1"/>
  <c r="BI647" i="1" l="1"/>
  <c r="BJ644" i="1"/>
  <c r="BO643" i="1"/>
  <c r="BJ645" i="1" l="1"/>
  <c r="BO644" i="1"/>
  <c r="BI648" i="1"/>
  <c r="BO645" i="1" l="1"/>
  <c r="BJ646" i="1"/>
  <c r="BI649" i="1"/>
  <c r="BO646" i="1" l="1"/>
  <c r="BJ647" i="1"/>
  <c r="BI650" i="1"/>
  <c r="BI651" i="1" l="1"/>
  <c r="BJ648" i="1"/>
  <c r="BO647" i="1"/>
  <c r="BJ649" i="1" l="1"/>
  <c r="BO648" i="1"/>
  <c r="BI652" i="1"/>
  <c r="BI653" i="1" l="1"/>
  <c r="BO649" i="1"/>
  <c r="BJ650" i="1"/>
  <c r="BO650" i="1" l="1"/>
  <c r="BJ651" i="1"/>
  <c r="BI654" i="1"/>
  <c r="BI655" i="1" l="1"/>
  <c r="BJ652" i="1"/>
  <c r="BO651" i="1"/>
  <c r="BJ653" i="1" l="1"/>
  <c r="BO652" i="1"/>
  <c r="BI656" i="1"/>
  <c r="BI657" i="1" l="1"/>
  <c r="BO653" i="1"/>
  <c r="BJ654" i="1"/>
  <c r="BO654" i="1" l="1"/>
  <c r="BJ655" i="1"/>
  <c r="BI658" i="1"/>
  <c r="BI659" i="1" l="1"/>
  <c r="BJ656" i="1"/>
  <c r="BO655" i="1"/>
  <c r="BJ657" i="1" l="1"/>
  <c r="BO656" i="1"/>
  <c r="BI660" i="1"/>
  <c r="BI661" i="1" l="1"/>
  <c r="BO657" i="1"/>
  <c r="BJ658" i="1"/>
  <c r="BO658" i="1" l="1"/>
  <c r="BJ659" i="1"/>
  <c r="BI662" i="1"/>
  <c r="BI663" i="1" l="1"/>
  <c r="BJ660" i="1"/>
  <c r="BO659" i="1"/>
  <c r="BJ661" i="1" l="1"/>
  <c r="BO660" i="1"/>
  <c r="BI664" i="1"/>
  <c r="BI665" i="1" l="1"/>
  <c r="BO661" i="1"/>
  <c r="BJ662" i="1"/>
  <c r="BO662" i="1" l="1"/>
  <c r="BJ663" i="1"/>
  <c r="BI666" i="1"/>
  <c r="BI667" i="1" l="1"/>
  <c r="BJ664" i="1"/>
  <c r="BO663" i="1"/>
  <c r="BJ665" i="1" l="1"/>
  <c r="BO664" i="1"/>
  <c r="BI668" i="1"/>
  <c r="BO665" i="1" l="1"/>
  <c r="BJ666" i="1"/>
  <c r="BI669" i="1"/>
  <c r="BI670" i="1" l="1"/>
  <c r="BO666" i="1"/>
  <c r="BJ667" i="1"/>
  <c r="BJ668" i="1" l="1"/>
  <c r="BO667" i="1"/>
  <c r="BI671" i="1"/>
  <c r="BI672" i="1" l="1"/>
  <c r="BJ669" i="1"/>
  <c r="BO668" i="1"/>
  <c r="BO669" i="1" l="1"/>
  <c r="BJ670" i="1"/>
  <c r="BI673" i="1"/>
  <c r="BI674" i="1" l="1"/>
  <c r="BO670" i="1"/>
  <c r="BJ671" i="1"/>
  <c r="BI675" i="1" l="1"/>
  <c r="BJ672" i="1"/>
  <c r="BO671" i="1"/>
  <c r="BJ673" i="1" l="1"/>
  <c r="BO672" i="1"/>
  <c r="BI676" i="1"/>
  <c r="BI677" i="1" l="1"/>
  <c r="BO673" i="1"/>
  <c r="BJ674" i="1"/>
  <c r="BO674" i="1" l="1"/>
  <c r="BJ675" i="1"/>
  <c r="BI678" i="1"/>
  <c r="BI679" i="1" l="1"/>
  <c r="BJ676" i="1"/>
  <c r="BO675" i="1"/>
  <c r="BJ677" i="1" l="1"/>
  <c r="BO676" i="1"/>
  <c r="BI680" i="1"/>
  <c r="BI681" i="1" l="1"/>
  <c r="BO677" i="1"/>
  <c r="BJ678" i="1"/>
  <c r="BO678" i="1" l="1"/>
  <c r="BJ679" i="1"/>
  <c r="BI682" i="1"/>
  <c r="BI683" i="1" l="1"/>
  <c r="BJ680" i="1"/>
  <c r="BO679" i="1"/>
  <c r="BJ681" i="1" l="1"/>
  <c r="BO680" i="1"/>
  <c r="BI684" i="1"/>
  <c r="BO681" i="1" l="1"/>
  <c r="BJ682" i="1"/>
  <c r="BI685" i="1"/>
  <c r="BI686" i="1" l="1"/>
  <c r="BO682" i="1"/>
  <c r="BJ683" i="1"/>
  <c r="BJ684" i="1" l="1"/>
  <c r="BO683" i="1"/>
  <c r="BI687" i="1"/>
  <c r="BI688" i="1" l="1"/>
  <c r="BJ685" i="1"/>
  <c r="BO684" i="1"/>
  <c r="BO685" i="1" l="1"/>
  <c r="BJ686" i="1"/>
  <c r="BI689" i="1"/>
  <c r="BO686" i="1" l="1"/>
  <c r="BJ687" i="1"/>
  <c r="BI690" i="1"/>
  <c r="BI691" i="1" l="1"/>
  <c r="BJ688" i="1"/>
  <c r="BO687" i="1"/>
  <c r="BJ689" i="1" l="1"/>
  <c r="BO688" i="1"/>
  <c r="BI692" i="1"/>
  <c r="BO689" i="1" l="1"/>
  <c r="BJ690" i="1"/>
  <c r="BI693" i="1"/>
  <c r="BI694" i="1" l="1"/>
  <c r="BO690" i="1"/>
  <c r="BJ691" i="1"/>
  <c r="BJ692" i="1" l="1"/>
  <c r="BO691" i="1"/>
  <c r="BI695" i="1"/>
  <c r="BI696" i="1" l="1"/>
  <c r="BJ693" i="1"/>
  <c r="BO692" i="1"/>
  <c r="BO693" i="1" l="1"/>
  <c r="BJ694" i="1"/>
  <c r="BI697" i="1"/>
  <c r="BO694" i="1" l="1"/>
  <c r="BJ695" i="1"/>
  <c r="BI698" i="1"/>
  <c r="BI699" i="1" l="1"/>
  <c r="BJ696" i="1"/>
  <c r="BO695" i="1"/>
  <c r="BI700" i="1" l="1"/>
  <c r="BJ697" i="1"/>
  <c r="BO696" i="1"/>
  <c r="BO697" i="1" l="1"/>
  <c r="BJ698" i="1"/>
  <c r="BI701" i="1"/>
  <c r="BO698" i="1" l="1"/>
  <c r="BJ699" i="1"/>
  <c r="BI702" i="1"/>
  <c r="BJ700" i="1" l="1"/>
  <c r="BO699" i="1"/>
  <c r="BI703" i="1"/>
  <c r="BI704" i="1" l="1"/>
  <c r="BJ701" i="1"/>
  <c r="BO700" i="1"/>
  <c r="BO701" i="1" l="1"/>
  <c r="BJ702" i="1"/>
  <c r="BI705" i="1"/>
  <c r="BI706" i="1" l="1"/>
  <c r="BO702" i="1"/>
  <c r="BJ703" i="1"/>
  <c r="BJ704" i="1" l="1"/>
  <c r="BO703" i="1"/>
  <c r="BI707" i="1"/>
  <c r="BJ705" i="1" l="1"/>
  <c r="BO704" i="1"/>
  <c r="BI708" i="1"/>
  <c r="BO705" i="1" l="1"/>
  <c r="BJ706" i="1"/>
  <c r="BI709" i="1"/>
  <c r="BO706" i="1" l="1"/>
  <c r="BJ707" i="1"/>
  <c r="BI710" i="1"/>
  <c r="BI711" i="1" l="1"/>
  <c r="BJ708" i="1"/>
  <c r="BO707" i="1"/>
  <c r="BJ709" i="1" l="1"/>
  <c r="BO708" i="1"/>
  <c r="BI712" i="1"/>
  <c r="BO709" i="1" l="1"/>
  <c r="BJ710" i="1"/>
  <c r="BI713" i="1"/>
  <c r="BI714" i="1" l="1"/>
  <c r="BO710" i="1"/>
  <c r="BJ711" i="1"/>
  <c r="BJ712" i="1" l="1"/>
  <c r="BO711" i="1"/>
  <c r="BI715" i="1"/>
  <c r="BJ713" i="1" l="1"/>
  <c r="BO712" i="1"/>
  <c r="BI716" i="1"/>
  <c r="BO713" i="1" l="1"/>
  <c r="BJ714" i="1"/>
  <c r="BI717" i="1"/>
  <c r="BI718" i="1" l="1"/>
  <c r="BO714" i="1"/>
  <c r="BJ715" i="1"/>
  <c r="BJ716" i="1" l="1"/>
  <c r="BO715" i="1"/>
  <c r="BI719" i="1"/>
  <c r="BI720" i="1" l="1"/>
  <c r="BJ717" i="1"/>
  <c r="BO716" i="1"/>
  <c r="BI721" i="1" l="1"/>
  <c r="BO717" i="1"/>
  <c r="BJ718" i="1"/>
  <c r="BO718" i="1" l="1"/>
  <c r="BJ719" i="1"/>
  <c r="BI722" i="1"/>
  <c r="BJ720" i="1" l="1"/>
  <c r="BO719" i="1"/>
  <c r="BI723" i="1"/>
  <c r="BI724" i="1" l="1"/>
  <c r="BJ721" i="1"/>
  <c r="BO720" i="1"/>
  <c r="BI725" i="1" l="1"/>
  <c r="BO721" i="1"/>
  <c r="BJ722" i="1"/>
  <c r="BI726" i="1" l="1"/>
  <c r="BO722" i="1"/>
  <c r="BJ723" i="1"/>
  <c r="BJ724" i="1" l="1"/>
  <c r="BO723" i="1"/>
  <c r="BI727" i="1"/>
  <c r="BI728" i="1" l="1"/>
  <c r="BJ725" i="1"/>
  <c r="BO724" i="1"/>
  <c r="BO725" i="1" l="1"/>
  <c r="BJ726" i="1"/>
  <c r="BI729" i="1"/>
  <c r="BI730" i="1" l="1"/>
  <c r="BO726" i="1"/>
  <c r="BJ727" i="1"/>
  <c r="BJ728" i="1" l="1"/>
  <c r="BO727" i="1"/>
  <c r="BI731" i="1"/>
  <c r="BJ729" i="1" l="1"/>
  <c r="BO728" i="1"/>
  <c r="BI732" i="1"/>
  <c r="BO729" i="1" l="1"/>
  <c r="BJ730" i="1"/>
  <c r="BI733" i="1"/>
  <c r="BI734" i="1" l="1"/>
  <c r="BO730" i="1"/>
  <c r="BJ731" i="1"/>
  <c r="BJ732" i="1" l="1"/>
  <c r="BO731" i="1"/>
  <c r="BI735" i="1"/>
  <c r="BI736" i="1" l="1"/>
  <c r="BJ733" i="1"/>
  <c r="BO732" i="1"/>
  <c r="BI737" i="1" l="1"/>
  <c r="BO733" i="1"/>
  <c r="BJ734" i="1"/>
  <c r="BO734" i="1" l="1"/>
  <c r="BJ735" i="1"/>
  <c r="BI738" i="1"/>
  <c r="BJ736" i="1" l="1"/>
  <c r="BO735" i="1"/>
  <c r="BI739" i="1"/>
  <c r="BI740" i="1" l="1"/>
  <c r="BJ737" i="1"/>
  <c r="BO736" i="1"/>
  <c r="BO737" i="1" l="1"/>
  <c r="BJ738" i="1"/>
  <c r="BI741" i="1"/>
  <c r="BI742" i="1" l="1"/>
  <c r="BO738" i="1"/>
  <c r="BJ739" i="1"/>
  <c r="BJ740" i="1" l="1"/>
  <c r="BO739" i="1"/>
  <c r="BI743" i="1"/>
  <c r="BI744" i="1" l="1"/>
  <c r="BJ741" i="1"/>
  <c r="BO740" i="1"/>
  <c r="BO741" i="1" l="1"/>
  <c r="BJ742" i="1"/>
  <c r="BI745" i="1"/>
  <c r="BI746" i="1" l="1"/>
  <c r="BO742" i="1"/>
  <c r="BJ743" i="1"/>
  <c r="BJ744" i="1" l="1"/>
  <c r="BO743" i="1"/>
  <c r="BI747" i="1"/>
  <c r="BI748" i="1" l="1"/>
  <c r="BJ745" i="1"/>
  <c r="BO744" i="1"/>
  <c r="BO745" i="1" l="1"/>
  <c r="BJ746" i="1"/>
  <c r="BI749" i="1"/>
  <c r="BI750" i="1" l="1"/>
  <c r="BO746" i="1"/>
  <c r="BJ747" i="1"/>
  <c r="BJ748" i="1" l="1"/>
  <c r="BO747" i="1"/>
  <c r="BI751" i="1"/>
  <c r="BI752" i="1" l="1"/>
  <c r="BJ749" i="1"/>
  <c r="BO748" i="1"/>
  <c r="BI753" i="1" l="1"/>
  <c r="BO749" i="1"/>
  <c r="BJ750" i="1"/>
  <c r="BO750" i="1" l="1"/>
  <c r="BJ751" i="1"/>
  <c r="BI754" i="1"/>
  <c r="BI755" i="1" l="1"/>
  <c r="BJ752" i="1"/>
  <c r="BO751" i="1"/>
  <c r="BI756" i="1" l="1"/>
  <c r="BJ753" i="1"/>
  <c r="BO752" i="1"/>
  <c r="BO753" i="1" l="1"/>
  <c r="BJ754" i="1"/>
  <c r="BI757" i="1"/>
  <c r="BI758" i="1" l="1"/>
  <c r="BO754" i="1"/>
  <c r="BJ755" i="1"/>
  <c r="BJ756" i="1" l="1"/>
  <c r="BO755" i="1"/>
  <c r="BI759" i="1"/>
  <c r="BI760" i="1" l="1"/>
  <c r="BJ757" i="1"/>
  <c r="BO756" i="1"/>
  <c r="BO757" i="1" l="1"/>
  <c r="BJ758" i="1"/>
  <c r="BI761" i="1"/>
  <c r="BO758" i="1" l="1"/>
  <c r="BJ759" i="1"/>
  <c r="BI762" i="1"/>
  <c r="BI763" i="1" l="1"/>
  <c r="BJ760" i="1"/>
  <c r="BO759" i="1"/>
  <c r="BJ761" i="1" l="1"/>
  <c r="BO760" i="1"/>
  <c r="BI764" i="1"/>
  <c r="BI765" i="1" l="1"/>
  <c r="BO761" i="1"/>
  <c r="BJ762" i="1"/>
  <c r="BI766" i="1" l="1"/>
  <c r="BO762" i="1"/>
  <c r="BJ763" i="1"/>
  <c r="BI767" i="1" l="1"/>
  <c r="BJ764" i="1"/>
  <c r="BO763" i="1"/>
  <c r="BJ765" i="1" l="1"/>
  <c r="BO764" i="1"/>
  <c r="BI768" i="1"/>
  <c r="BI769" i="1" l="1"/>
  <c r="BO765" i="1"/>
  <c r="BJ766" i="1"/>
  <c r="BI770" i="1" l="1"/>
  <c r="BO766" i="1"/>
  <c r="BJ767" i="1"/>
  <c r="BJ768" i="1" l="1"/>
  <c r="BO767" i="1"/>
  <c r="BI771" i="1"/>
  <c r="BI772" i="1" l="1"/>
  <c r="BJ769" i="1"/>
  <c r="BO768" i="1"/>
  <c r="BO769" i="1" l="1"/>
  <c r="BJ770" i="1"/>
  <c r="BI773" i="1"/>
  <c r="BI774" i="1" l="1"/>
  <c r="BO770" i="1"/>
  <c r="BJ771" i="1"/>
  <c r="BJ772" i="1" l="1"/>
  <c r="BO771" i="1"/>
  <c r="BI775" i="1"/>
  <c r="BI776" i="1" l="1"/>
  <c r="BJ773" i="1"/>
  <c r="BO772" i="1"/>
  <c r="BO773" i="1" l="1"/>
  <c r="BJ774" i="1"/>
  <c r="BI777" i="1"/>
  <c r="BI778" i="1" l="1"/>
  <c r="BO774" i="1"/>
  <c r="BJ775" i="1"/>
  <c r="BJ776" i="1" l="1"/>
  <c r="BO775" i="1"/>
  <c r="BI779" i="1"/>
  <c r="BJ777" i="1" l="1"/>
  <c r="BO776" i="1"/>
  <c r="BI780" i="1"/>
  <c r="BO777" i="1" l="1"/>
  <c r="BJ778" i="1"/>
  <c r="BI781" i="1"/>
  <c r="BO778" i="1" l="1"/>
  <c r="BJ779" i="1"/>
  <c r="BI782" i="1"/>
  <c r="BO779" i="1" l="1"/>
  <c r="BJ780" i="1"/>
  <c r="BI783" i="1"/>
  <c r="BI784" i="1" l="1"/>
  <c r="BJ781" i="1"/>
  <c r="BO780" i="1"/>
  <c r="BJ782" i="1" l="1"/>
  <c r="BO781" i="1"/>
  <c r="BI785" i="1"/>
  <c r="BO782" i="1" l="1"/>
  <c r="BJ783" i="1"/>
  <c r="BI786" i="1"/>
  <c r="BO783" i="1" l="1"/>
  <c r="BJ784" i="1"/>
  <c r="BI787" i="1"/>
  <c r="BI788" i="1" l="1"/>
  <c r="BJ785" i="1"/>
  <c r="BO784" i="1"/>
  <c r="BJ786" i="1" l="1"/>
  <c r="BO785" i="1"/>
  <c r="BI789" i="1"/>
  <c r="BI790" i="1" l="1"/>
  <c r="BO786" i="1"/>
  <c r="BJ787" i="1"/>
  <c r="BI791" i="1" l="1"/>
  <c r="BO787" i="1"/>
  <c r="BJ788" i="1"/>
  <c r="BJ789" i="1" l="1"/>
  <c r="BO788" i="1"/>
  <c r="BI792" i="1"/>
  <c r="BI793" i="1" l="1"/>
  <c r="BO789" i="1"/>
  <c r="BJ790" i="1"/>
  <c r="BO790" i="1" l="1"/>
  <c r="BJ791" i="1"/>
  <c r="BI794" i="1"/>
  <c r="BI795" i="1" l="1"/>
  <c r="BJ792" i="1"/>
  <c r="BO791" i="1"/>
  <c r="BJ793" i="1" l="1"/>
  <c r="BO792" i="1"/>
  <c r="BI796" i="1"/>
  <c r="BI797" i="1" l="1"/>
  <c r="BO793" i="1"/>
  <c r="BJ794" i="1"/>
  <c r="BO794" i="1" l="1"/>
  <c r="BJ795" i="1"/>
  <c r="BI798" i="1"/>
  <c r="BO795" i="1" l="1"/>
  <c r="BJ796" i="1"/>
  <c r="BI799" i="1"/>
  <c r="BI800" i="1" l="1"/>
  <c r="BJ797" i="1"/>
  <c r="BO796" i="1"/>
  <c r="BJ798" i="1" l="1"/>
  <c r="BO797" i="1"/>
  <c r="BI801" i="1"/>
  <c r="BI802" i="1" l="1"/>
  <c r="BO798" i="1"/>
  <c r="BJ799" i="1"/>
  <c r="BO799" i="1" l="1"/>
  <c r="BJ800" i="1"/>
  <c r="BI803" i="1"/>
  <c r="BJ801" i="1" l="1"/>
  <c r="BO800" i="1"/>
  <c r="BI804" i="1"/>
  <c r="BI805" i="1" l="1"/>
  <c r="BJ802" i="1"/>
  <c r="BO801" i="1"/>
  <c r="BO802" i="1" l="1"/>
  <c r="BJ803" i="1"/>
  <c r="BI806" i="1"/>
  <c r="BI807" i="1" l="1"/>
  <c r="BO803" i="1"/>
  <c r="BJ804" i="1"/>
  <c r="BJ805" i="1" l="1"/>
  <c r="BO804" i="1"/>
  <c r="BI808" i="1"/>
  <c r="BI809" i="1" l="1"/>
  <c r="BO805" i="1"/>
  <c r="BJ806" i="1"/>
  <c r="BO806" i="1" l="1"/>
  <c r="BJ807" i="1"/>
  <c r="BI810" i="1"/>
  <c r="BI811" i="1" l="1"/>
  <c r="BJ808" i="1"/>
  <c r="BO807" i="1"/>
  <c r="BI812" i="1" l="1"/>
  <c r="BJ809" i="1"/>
  <c r="BO808" i="1"/>
  <c r="BO809" i="1" l="1"/>
  <c r="BJ810" i="1"/>
  <c r="BI813" i="1"/>
  <c r="BO810" i="1" l="1"/>
  <c r="BJ811" i="1"/>
  <c r="BI814" i="1"/>
  <c r="BI815" i="1" l="1"/>
  <c r="BO811" i="1"/>
  <c r="BJ812" i="1"/>
  <c r="BI816" i="1" l="1"/>
  <c r="BO812" i="1"/>
  <c r="BJ813" i="1"/>
  <c r="BJ814" i="1" l="1"/>
  <c r="BO813" i="1"/>
  <c r="BI817" i="1"/>
  <c r="BI818" i="1" l="1"/>
  <c r="BJ815" i="1"/>
  <c r="BO814" i="1"/>
  <c r="BO815" i="1" l="1"/>
  <c r="BJ816" i="1"/>
  <c r="BI819" i="1"/>
  <c r="BI820" i="1" l="1"/>
  <c r="BO816" i="1"/>
  <c r="BJ817" i="1"/>
  <c r="BJ818" i="1" l="1"/>
  <c r="BO817" i="1"/>
  <c r="BI821" i="1"/>
  <c r="BI822" i="1" l="1"/>
  <c r="BJ819" i="1"/>
  <c r="BO818" i="1"/>
  <c r="BO819" i="1" l="1"/>
  <c r="BJ820" i="1"/>
  <c r="BI823" i="1"/>
  <c r="BI824" i="1" l="1"/>
  <c r="BO820" i="1"/>
  <c r="BJ821" i="1"/>
  <c r="BJ822" i="1" l="1"/>
  <c r="BO821" i="1"/>
  <c r="BI825" i="1"/>
  <c r="BI826" i="1" l="1"/>
  <c r="BJ823" i="1"/>
  <c r="BO822" i="1"/>
  <c r="BI827" i="1" l="1"/>
  <c r="BO823" i="1"/>
  <c r="BJ824" i="1"/>
  <c r="BO824" i="1" l="1"/>
  <c r="BJ825" i="1"/>
  <c r="BI828" i="1"/>
  <c r="BI829" i="1" l="1"/>
  <c r="BJ826" i="1"/>
  <c r="BO825" i="1"/>
  <c r="BJ827" i="1" l="1"/>
  <c r="BO826" i="1"/>
  <c r="BI830" i="1"/>
  <c r="BI831" i="1" l="1"/>
  <c r="BO827" i="1"/>
  <c r="BJ828" i="1"/>
  <c r="BI832" i="1" l="1"/>
  <c r="BO828" i="1"/>
  <c r="BJ829" i="1"/>
  <c r="BJ830" i="1" l="1"/>
  <c r="BO829" i="1"/>
  <c r="BI833" i="1"/>
  <c r="BI834" i="1" l="1"/>
  <c r="BJ831" i="1"/>
  <c r="BO830" i="1"/>
  <c r="BO831" i="1" l="1"/>
  <c r="BJ832" i="1"/>
  <c r="BI835" i="1"/>
  <c r="BO832" i="1" l="1"/>
  <c r="BJ833" i="1"/>
  <c r="BI836" i="1"/>
  <c r="BJ834" i="1" l="1"/>
  <c r="BO833" i="1"/>
  <c r="BI837" i="1"/>
  <c r="BI838" i="1" l="1"/>
  <c r="BJ835" i="1"/>
  <c r="BO834" i="1"/>
  <c r="BO835" i="1" l="1"/>
  <c r="BJ836" i="1"/>
  <c r="BI839" i="1"/>
  <c r="BO836" i="1" l="1"/>
  <c r="BJ837" i="1"/>
  <c r="BI840" i="1"/>
  <c r="BI841" i="1" l="1"/>
  <c r="BJ838" i="1"/>
  <c r="BO837" i="1"/>
  <c r="BJ839" i="1" l="1"/>
  <c r="BO838" i="1"/>
  <c r="BI842" i="1"/>
  <c r="BI843" i="1" l="1"/>
  <c r="BO839" i="1"/>
  <c r="BJ840" i="1"/>
  <c r="BO840" i="1" l="1"/>
  <c r="BJ841" i="1"/>
  <c r="BI844" i="1"/>
  <c r="BI845" i="1" l="1"/>
  <c r="BJ842" i="1"/>
  <c r="BO841" i="1"/>
  <c r="BJ843" i="1" l="1"/>
  <c r="BO842" i="1"/>
  <c r="BI846" i="1"/>
  <c r="BO843" i="1" l="1"/>
  <c r="BJ844" i="1"/>
  <c r="BI847" i="1"/>
  <c r="BI848" i="1" l="1"/>
  <c r="BO844" i="1"/>
  <c r="BJ845" i="1"/>
  <c r="BI849" i="1" l="1"/>
  <c r="BJ846" i="1"/>
  <c r="BO845" i="1"/>
  <c r="BJ847" i="1" l="1"/>
  <c r="BO846" i="1"/>
  <c r="BI850" i="1"/>
  <c r="BI851" i="1" l="1"/>
  <c r="BO847" i="1"/>
  <c r="BJ848" i="1"/>
  <c r="BO848" i="1" l="1"/>
  <c r="BJ849" i="1"/>
  <c r="BI852" i="1"/>
  <c r="BI853" i="1" l="1"/>
  <c r="BJ850" i="1"/>
  <c r="BO849" i="1"/>
  <c r="BI854" i="1" l="1"/>
  <c r="BJ851" i="1"/>
  <c r="BO850" i="1"/>
  <c r="BO851" i="1" l="1"/>
  <c r="BJ852" i="1"/>
  <c r="BI855" i="1"/>
  <c r="BI856" i="1" l="1"/>
  <c r="BO852" i="1"/>
  <c r="BJ853" i="1"/>
  <c r="BJ854" i="1" l="1"/>
  <c r="BO853" i="1"/>
  <c r="BI857" i="1"/>
  <c r="BI858" i="1" l="1"/>
  <c r="BJ855" i="1"/>
  <c r="BO854" i="1"/>
  <c r="BO855" i="1" l="1"/>
  <c r="BJ856" i="1"/>
  <c r="BI859" i="1"/>
  <c r="BO856" i="1" l="1"/>
  <c r="BJ857" i="1"/>
  <c r="BI860" i="1"/>
  <c r="BI861" i="1" l="1"/>
  <c r="BJ858" i="1"/>
  <c r="BO857" i="1"/>
  <c r="BJ859" i="1" l="1"/>
  <c r="BO858" i="1"/>
  <c r="BI862" i="1"/>
  <c r="BI863" i="1" l="1"/>
  <c r="BO859" i="1"/>
  <c r="BJ860" i="1"/>
  <c r="BI864" i="1" l="1"/>
  <c r="BO860" i="1"/>
  <c r="BJ861" i="1"/>
  <c r="BI865" i="1" l="1"/>
  <c r="BJ862" i="1"/>
  <c r="BO861" i="1"/>
  <c r="BJ863" i="1" l="1"/>
  <c r="BO862" i="1"/>
  <c r="BI866" i="1"/>
  <c r="BI867" i="1" l="1"/>
  <c r="BO863" i="1"/>
  <c r="BJ864" i="1"/>
  <c r="BO864" i="1" l="1"/>
  <c r="BJ865" i="1"/>
  <c r="BI868" i="1"/>
  <c r="BJ866" i="1" l="1"/>
  <c r="BO865" i="1"/>
  <c r="BI869" i="1"/>
  <c r="BI870" i="1" l="1"/>
  <c r="BJ867" i="1"/>
  <c r="BO866" i="1"/>
  <c r="BO867" i="1" l="1"/>
  <c r="BJ868" i="1"/>
  <c r="BI871" i="1"/>
  <c r="BI872" i="1" l="1"/>
  <c r="BO868" i="1"/>
  <c r="BJ869" i="1"/>
  <c r="BI873" i="1" l="1"/>
  <c r="BJ870" i="1"/>
  <c r="BO869" i="1"/>
  <c r="BI874" i="1" l="1"/>
  <c r="BJ871" i="1"/>
  <c r="BO870" i="1"/>
  <c r="BO871" i="1" l="1"/>
  <c r="BJ872" i="1"/>
  <c r="BI875" i="1"/>
  <c r="BO872" i="1" l="1"/>
  <c r="BJ873" i="1"/>
  <c r="BI876" i="1"/>
  <c r="BJ874" i="1" l="1"/>
  <c r="BO873" i="1"/>
  <c r="BI877" i="1"/>
  <c r="BI878" i="1" l="1"/>
  <c r="BJ875" i="1"/>
  <c r="BO874" i="1"/>
  <c r="BO875" i="1" l="1"/>
  <c r="BJ876" i="1"/>
  <c r="BI879" i="1"/>
  <c r="BO876" i="1" l="1"/>
  <c r="BJ877" i="1"/>
  <c r="BI880" i="1"/>
  <c r="BI881" i="1" l="1"/>
  <c r="BJ878" i="1"/>
  <c r="BO877" i="1"/>
  <c r="BI882" i="1" l="1"/>
  <c r="BJ879" i="1"/>
  <c r="BO878" i="1"/>
  <c r="BO879" i="1" l="1"/>
  <c r="BJ880" i="1"/>
  <c r="BI883" i="1"/>
  <c r="BI884" i="1" l="1"/>
  <c r="BO880" i="1"/>
  <c r="BJ881" i="1"/>
  <c r="BI885" i="1" l="1"/>
  <c r="BJ882" i="1"/>
  <c r="BO881" i="1"/>
  <c r="BJ883" i="1" l="1"/>
  <c r="BO882" i="1"/>
  <c r="BI886" i="1"/>
  <c r="BI887" i="1" l="1"/>
  <c r="BO883" i="1"/>
  <c r="BJ884" i="1"/>
  <c r="BO884" i="1" l="1"/>
  <c r="BJ885" i="1"/>
  <c r="BI888" i="1"/>
  <c r="BI889" i="1" l="1"/>
  <c r="BJ886" i="1"/>
  <c r="BO885" i="1"/>
  <c r="BJ887" i="1" l="1"/>
  <c r="BO886" i="1"/>
  <c r="BI890" i="1"/>
  <c r="BI891" i="1" l="1"/>
  <c r="BO887" i="1"/>
  <c r="BJ888" i="1"/>
  <c r="BO888" i="1" l="1"/>
  <c r="BJ889" i="1"/>
  <c r="BI892" i="1"/>
  <c r="BI893" i="1" l="1"/>
  <c r="BJ890" i="1"/>
  <c r="BO889" i="1"/>
  <c r="BJ891" i="1" l="1"/>
  <c r="BO890" i="1"/>
  <c r="BI894" i="1"/>
  <c r="BI895" i="1" l="1"/>
  <c r="BO891" i="1"/>
  <c r="BJ892" i="1"/>
  <c r="BO892" i="1" l="1"/>
  <c r="BJ893" i="1"/>
  <c r="BI896" i="1"/>
  <c r="BI897" i="1" l="1"/>
  <c r="BJ894" i="1"/>
  <c r="BO893" i="1"/>
  <c r="BJ895" i="1" l="1"/>
  <c r="BO894" i="1"/>
  <c r="BI898" i="1"/>
  <c r="BI899" i="1" l="1"/>
  <c r="BO895" i="1"/>
  <c r="BJ896" i="1"/>
  <c r="BI900" i="1" l="1"/>
  <c r="BO896" i="1"/>
  <c r="BJ897" i="1"/>
  <c r="BJ898" i="1" l="1"/>
  <c r="BO897" i="1"/>
  <c r="BI901" i="1"/>
  <c r="BI902" i="1" l="1"/>
  <c r="BJ899" i="1"/>
  <c r="BO898" i="1"/>
  <c r="BO899" i="1" l="1"/>
  <c r="BJ900" i="1"/>
  <c r="BI903" i="1"/>
  <c r="BI904" i="1" l="1"/>
  <c r="BO900" i="1"/>
  <c r="BJ901" i="1"/>
  <c r="BJ902" i="1" l="1"/>
  <c r="BO901" i="1"/>
  <c r="BI905" i="1"/>
  <c r="BI906" i="1" l="1"/>
  <c r="BJ903" i="1"/>
  <c r="BO902" i="1"/>
  <c r="BI907" i="1" l="1"/>
  <c r="BO903" i="1"/>
  <c r="BJ904" i="1"/>
  <c r="BI908" i="1" l="1"/>
  <c r="BO904" i="1"/>
  <c r="BJ905" i="1"/>
  <c r="BI909" i="1" l="1"/>
  <c r="BJ906" i="1"/>
  <c r="BO905" i="1"/>
  <c r="BJ907" i="1" l="1"/>
  <c r="BO906" i="1"/>
  <c r="BI910" i="1"/>
  <c r="BI911" i="1" l="1"/>
  <c r="BO907" i="1"/>
  <c r="BJ908" i="1"/>
  <c r="BO908" i="1" l="1"/>
  <c r="BJ909" i="1"/>
  <c r="BI912" i="1"/>
  <c r="BI913" i="1" l="1"/>
  <c r="BJ910" i="1"/>
  <c r="BO909" i="1"/>
  <c r="BJ911" i="1" l="1"/>
  <c r="BO910" i="1"/>
  <c r="BI914" i="1"/>
  <c r="BO911" i="1" l="1"/>
  <c r="BJ912" i="1"/>
  <c r="BI915" i="1"/>
  <c r="BI916" i="1" l="1"/>
  <c r="BO912" i="1"/>
  <c r="BJ913" i="1"/>
  <c r="BJ914" i="1" l="1"/>
  <c r="BO913" i="1"/>
  <c r="BI917" i="1"/>
  <c r="BI918" i="1" l="1"/>
  <c r="BJ915" i="1"/>
  <c r="BO914" i="1"/>
  <c r="BI919" i="1" l="1"/>
  <c r="BO915" i="1"/>
  <c r="BJ916" i="1"/>
  <c r="BI920" i="1" l="1"/>
  <c r="BO916" i="1"/>
  <c r="BJ917" i="1"/>
  <c r="BJ918" i="1" l="1"/>
  <c r="BO917" i="1"/>
  <c r="BI921" i="1"/>
  <c r="BJ919" i="1" l="1"/>
  <c r="BO918" i="1"/>
  <c r="BI922" i="1"/>
  <c r="BO919" i="1" l="1"/>
  <c r="BJ920" i="1"/>
  <c r="BI923" i="1"/>
  <c r="BI924" i="1" l="1"/>
  <c r="BO920" i="1"/>
  <c r="BJ921" i="1"/>
  <c r="BJ922" i="1" l="1"/>
  <c r="BO921" i="1"/>
  <c r="BI925" i="1"/>
  <c r="BI926" i="1" l="1"/>
  <c r="BJ923" i="1"/>
  <c r="BO922" i="1"/>
  <c r="BI927" i="1" l="1"/>
  <c r="BO923" i="1"/>
  <c r="BJ924" i="1"/>
  <c r="BI928" i="1" l="1"/>
  <c r="BO924" i="1"/>
  <c r="BJ925" i="1"/>
  <c r="BI929" i="1" l="1"/>
  <c r="BJ926" i="1"/>
  <c r="BO925" i="1"/>
  <c r="BJ927" i="1" l="1"/>
  <c r="BO926" i="1"/>
  <c r="BI930" i="1"/>
  <c r="BI931" i="1" l="1"/>
  <c r="BO927" i="1"/>
  <c r="BJ928" i="1"/>
  <c r="BO928" i="1" l="1"/>
  <c r="BJ929" i="1"/>
  <c r="BI932" i="1"/>
  <c r="BI933" i="1" l="1"/>
  <c r="BJ930" i="1"/>
  <c r="BO929" i="1"/>
  <c r="BJ931" i="1" l="1"/>
  <c r="BO930" i="1"/>
  <c r="BI934" i="1"/>
  <c r="BI935" i="1" l="1"/>
  <c r="BO931" i="1"/>
  <c r="BJ932" i="1"/>
  <c r="BO932" i="1" l="1"/>
  <c r="BJ933" i="1"/>
  <c r="BI936" i="1"/>
  <c r="BI937" i="1" l="1"/>
  <c r="BJ934" i="1"/>
  <c r="BO933" i="1"/>
  <c r="BJ935" i="1" l="1"/>
  <c r="BO934" i="1"/>
  <c r="BI938" i="1"/>
  <c r="BI939" i="1" l="1"/>
  <c r="BO935" i="1"/>
  <c r="BJ936" i="1"/>
  <c r="BI940" i="1" l="1"/>
  <c r="BO936" i="1"/>
  <c r="BJ937" i="1"/>
  <c r="BJ938" i="1" l="1"/>
  <c r="BO937" i="1"/>
  <c r="BI941" i="1"/>
  <c r="BI942" i="1" l="1"/>
  <c r="BJ939" i="1"/>
  <c r="BO938" i="1"/>
  <c r="BI943" i="1" l="1"/>
  <c r="BO939" i="1"/>
  <c r="BJ940" i="1"/>
  <c r="BO940" i="1" l="1"/>
  <c r="BJ941" i="1"/>
  <c r="BI944" i="1"/>
  <c r="BI945" i="1" l="1"/>
  <c r="BJ942" i="1"/>
  <c r="BO941" i="1"/>
  <c r="BJ943" i="1" l="1"/>
  <c r="BO942" i="1"/>
  <c r="BI946" i="1"/>
  <c r="BI947" i="1" l="1"/>
  <c r="BO943" i="1"/>
  <c r="BJ944" i="1"/>
  <c r="BO944" i="1" l="1"/>
  <c r="BJ945" i="1"/>
  <c r="BI948" i="1"/>
  <c r="BI949" i="1" l="1"/>
  <c r="BJ946" i="1"/>
  <c r="BO945" i="1"/>
  <c r="BI950" i="1" l="1"/>
  <c r="BJ947" i="1"/>
  <c r="BO946" i="1"/>
  <c r="BO947" i="1" l="1"/>
  <c r="BJ948" i="1"/>
  <c r="BI951" i="1"/>
  <c r="BI952" i="1" l="1"/>
  <c r="BO948" i="1"/>
  <c r="BJ949" i="1"/>
  <c r="BI953" i="1" l="1"/>
  <c r="BJ950" i="1"/>
  <c r="BO949" i="1"/>
  <c r="BJ951" i="1" l="1"/>
  <c r="BO950" i="1"/>
  <c r="BI954" i="1"/>
  <c r="BI955" i="1" l="1"/>
  <c r="BO951" i="1"/>
  <c r="BJ952" i="1"/>
  <c r="BO952" i="1" l="1"/>
  <c r="BJ953" i="1"/>
  <c r="BI956" i="1"/>
  <c r="BI957" i="1" l="1"/>
  <c r="BJ954" i="1"/>
  <c r="BO953" i="1"/>
  <c r="BJ955" i="1" l="1"/>
  <c r="BO954" i="1"/>
  <c r="BI958" i="1"/>
  <c r="BO955" i="1" l="1"/>
  <c r="BJ956" i="1"/>
  <c r="BI959" i="1"/>
  <c r="BO956" i="1" l="1"/>
  <c r="BJ957" i="1"/>
  <c r="BI960" i="1"/>
  <c r="BJ958" i="1" l="1"/>
  <c r="BO957" i="1"/>
  <c r="BI961" i="1"/>
  <c r="BI962" i="1" l="1"/>
  <c r="BJ959" i="1"/>
  <c r="BO958" i="1"/>
  <c r="BO959" i="1" l="1"/>
  <c r="BJ960" i="1"/>
  <c r="BI963" i="1"/>
  <c r="BI964" i="1" l="1"/>
  <c r="BO960" i="1"/>
  <c r="BJ961" i="1"/>
  <c r="BJ962" i="1" l="1"/>
  <c r="BO961" i="1"/>
  <c r="BI965" i="1"/>
  <c r="BI966" i="1" l="1"/>
  <c r="BJ963" i="1"/>
  <c r="BO962" i="1"/>
  <c r="BI967" i="1" l="1"/>
  <c r="BO963" i="1"/>
  <c r="BJ964" i="1"/>
  <c r="BO964" i="1" l="1"/>
  <c r="BJ965" i="1"/>
  <c r="BI968" i="1"/>
  <c r="BI969" i="1" l="1"/>
  <c r="BJ966" i="1"/>
  <c r="BO965" i="1"/>
  <c r="BJ967" i="1" l="1"/>
  <c r="BO966" i="1"/>
  <c r="BI970" i="1"/>
  <c r="BI971" i="1" l="1"/>
  <c r="BO967" i="1"/>
  <c r="BJ968" i="1"/>
  <c r="BO968" i="1" l="1"/>
  <c r="BJ969" i="1"/>
  <c r="BI972" i="1"/>
  <c r="BI973" i="1" l="1"/>
  <c r="BJ970" i="1"/>
  <c r="BO969" i="1"/>
  <c r="BJ971" i="1" l="1"/>
  <c r="BO970" i="1"/>
  <c r="BI974" i="1"/>
  <c r="BI975" i="1" l="1"/>
  <c r="BO971" i="1"/>
  <c r="BJ972" i="1"/>
  <c r="BO972" i="1" l="1"/>
  <c r="BJ973" i="1"/>
  <c r="BI976" i="1"/>
  <c r="BI977" i="1" l="1"/>
  <c r="BJ974" i="1"/>
  <c r="BO973" i="1"/>
  <c r="BJ975" i="1" l="1"/>
  <c r="BO974" i="1"/>
  <c r="BI978" i="1"/>
  <c r="BI979" i="1" l="1"/>
  <c r="BO975" i="1"/>
  <c r="BJ976" i="1"/>
  <c r="BO976" i="1" l="1"/>
  <c r="BJ977" i="1"/>
  <c r="BI980" i="1"/>
  <c r="BI981" i="1" l="1"/>
  <c r="BJ978" i="1"/>
  <c r="BO977" i="1"/>
  <c r="BJ979" i="1" l="1"/>
  <c r="BO978" i="1"/>
  <c r="BI982" i="1"/>
  <c r="BO979" i="1" l="1"/>
  <c r="BJ980" i="1"/>
  <c r="BI983" i="1"/>
  <c r="BI984" i="1" l="1"/>
  <c r="BO980" i="1"/>
  <c r="BJ981" i="1"/>
  <c r="BJ982" i="1" l="1"/>
  <c r="BO981" i="1"/>
  <c r="BI985" i="1"/>
  <c r="BI986" i="1" l="1"/>
  <c r="BJ983" i="1"/>
  <c r="BO982" i="1"/>
  <c r="BO983" i="1" l="1"/>
  <c r="BJ984" i="1"/>
  <c r="BI987" i="1"/>
  <c r="BI988" i="1" l="1"/>
  <c r="BO984" i="1"/>
  <c r="BJ985" i="1"/>
  <c r="BI989" i="1" l="1"/>
  <c r="BJ986" i="1"/>
  <c r="BO985" i="1"/>
  <c r="BJ987" i="1" l="1"/>
  <c r="BO986" i="1"/>
  <c r="BI990" i="1"/>
  <c r="BO987" i="1" l="1"/>
  <c r="BJ988" i="1"/>
  <c r="BI991" i="1"/>
  <c r="BI992" i="1" l="1"/>
  <c r="BO988" i="1"/>
  <c r="BJ989" i="1"/>
  <c r="BI993" i="1" l="1"/>
  <c r="BJ990" i="1"/>
  <c r="BO989" i="1"/>
  <c r="BJ991" i="1" l="1"/>
  <c r="BO990" i="1"/>
  <c r="BI994" i="1"/>
  <c r="BI995" i="1" l="1"/>
  <c r="BO991" i="1"/>
  <c r="BJ992" i="1"/>
  <c r="BI996" i="1" l="1"/>
  <c r="BO992" i="1"/>
  <c r="BJ993" i="1"/>
  <c r="BJ994" i="1" l="1"/>
  <c r="BO993" i="1"/>
  <c r="BI997" i="1"/>
  <c r="BI998" i="1" l="1"/>
  <c r="BJ995" i="1"/>
  <c r="BO994" i="1"/>
  <c r="BO995" i="1" l="1"/>
  <c r="BJ996" i="1"/>
  <c r="BI999" i="1"/>
  <c r="BI1000" i="1" l="1"/>
  <c r="BO996" i="1"/>
  <c r="BJ997" i="1"/>
  <c r="BJ998" i="1" l="1"/>
  <c r="BO997" i="1"/>
  <c r="BI1001" i="1"/>
  <c r="BI1002" i="1" l="1"/>
  <c r="BO998" i="1"/>
  <c r="BJ999" i="1"/>
  <c r="BO999" i="1" l="1"/>
  <c r="BJ1000" i="1"/>
  <c r="BI1003" i="1"/>
  <c r="BI1004" i="1" l="1"/>
  <c r="BJ1001" i="1"/>
  <c r="BO1000" i="1"/>
  <c r="BJ1002" i="1" l="1"/>
  <c r="BO1001" i="1"/>
  <c r="BI1005" i="1"/>
  <c r="BI1006" i="1" l="1"/>
  <c r="BO1002" i="1"/>
  <c r="BJ1003" i="1"/>
  <c r="BO1003" i="1" l="1"/>
  <c r="BJ1004" i="1"/>
  <c r="BI1007" i="1"/>
  <c r="BI1008" i="1" l="1"/>
  <c r="BJ1005" i="1"/>
  <c r="BO1004" i="1"/>
  <c r="BJ1006" i="1" l="1"/>
  <c r="BO1005" i="1"/>
  <c r="BI1009" i="1"/>
  <c r="BI1010" i="1" l="1"/>
  <c r="BO1006" i="1"/>
  <c r="BJ1007" i="1"/>
  <c r="BI1011" i="1" l="1"/>
  <c r="BO1007" i="1"/>
  <c r="BJ1008" i="1"/>
  <c r="BJ1009" i="1" l="1"/>
  <c r="BO1008" i="1"/>
  <c r="BI1012" i="1"/>
  <c r="BJ1010" i="1" l="1"/>
  <c r="BO1009" i="1"/>
  <c r="BI1013" i="1"/>
  <c r="BI1014" i="1" l="1"/>
  <c r="BO1010" i="1"/>
  <c r="BJ1011" i="1"/>
  <c r="BO1011" i="1" l="1"/>
  <c r="BJ1012" i="1"/>
  <c r="BI1015" i="1"/>
  <c r="BJ1013" i="1" l="1"/>
  <c r="BO1012" i="1"/>
  <c r="BI1016" i="1"/>
  <c r="BI1017" i="1" l="1"/>
  <c r="BJ1014" i="1"/>
  <c r="BO1013" i="1"/>
  <c r="BI1018" i="1" l="1"/>
  <c r="BO1014" i="1"/>
  <c r="BJ1015" i="1"/>
  <c r="BO1015" i="1" l="1"/>
  <c r="BJ1016" i="1"/>
  <c r="BI1019" i="1"/>
  <c r="BJ1017" i="1" l="1"/>
  <c r="BO1016" i="1"/>
  <c r="BI1020" i="1"/>
  <c r="BI1021" i="1" l="1"/>
  <c r="BJ1018" i="1"/>
  <c r="BO1017" i="1"/>
  <c r="BO1018" i="1" l="1"/>
  <c r="BJ1019" i="1"/>
  <c r="BI1022" i="1"/>
  <c r="BI1023" i="1" l="1"/>
  <c r="BO1019" i="1"/>
  <c r="BJ1020" i="1"/>
  <c r="BJ1021" i="1" l="1"/>
  <c r="BO1020" i="1"/>
  <c r="BI1024" i="1"/>
  <c r="BJ1022" i="1" l="1"/>
  <c r="BO1021" i="1"/>
  <c r="BI1025" i="1"/>
  <c r="BO1022" i="1" l="1"/>
  <c r="BJ1023" i="1"/>
  <c r="BI1026" i="1"/>
  <c r="BI1027" i="1" l="1"/>
  <c r="BO1023" i="1"/>
  <c r="BJ1024" i="1"/>
  <c r="BI1028" i="1" l="1"/>
  <c r="BJ1025" i="1"/>
  <c r="BO1024" i="1"/>
  <c r="BJ1026" i="1" l="1"/>
  <c r="BO1025" i="1"/>
  <c r="BI1029" i="1"/>
  <c r="BO1026" i="1" l="1"/>
  <c r="BJ1027" i="1"/>
  <c r="BI1030" i="1"/>
  <c r="BI1031" i="1" l="1"/>
  <c r="BO1027" i="1"/>
  <c r="BJ1028" i="1"/>
  <c r="BJ1029" i="1" l="1"/>
  <c r="BO1028" i="1"/>
  <c r="BI1032" i="1"/>
  <c r="BI1033" i="1" l="1"/>
  <c r="BJ1030" i="1"/>
  <c r="BO1029" i="1"/>
  <c r="BO1030" i="1" l="1"/>
  <c r="BJ1031" i="1"/>
  <c r="BI1034" i="1"/>
  <c r="BI1035" i="1" l="1"/>
  <c r="BO1031" i="1"/>
  <c r="BJ1032" i="1"/>
  <c r="BJ1033" i="1" l="1"/>
  <c r="BO1032" i="1"/>
  <c r="BI1036" i="1"/>
  <c r="BI1037" i="1" l="1"/>
  <c r="BJ1034" i="1"/>
  <c r="BO1033" i="1"/>
  <c r="BI1038" i="1" l="1"/>
  <c r="BO1034" i="1"/>
  <c r="BJ1035" i="1"/>
  <c r="BO1035" i="1" l="1"/>
  <c r="BJ1036" i="1"/>
  <c r="BI1039" i="1"/>
  <c r="BI1040" i="1" l="1"/>
  <c r="BJ1037" i="1"/>
  <c r="BO1036" i="1"/>
  <c r="BJ1038" i="1" l="1"/>
  <c r="BO1037" i="1"/>
  <c r="BI1041" i="1"/>
  <c r="BI1042" i="1" l="1"/>
  <c r="BO1038" i="1"/>
  <c r="BJ1039" i="1"/>
  <c r="BO1039" i="1" l="1"/>
  <c r="BJ1040" i="1"/>
  <c r="BI1043" i="1"/>
  <c r="BI1044" i="1" l="1"/>
  <c r="BJ1041" i="1"/>
  <c r="BO1040" i="1"/>
  <c r="BJ1042" i="1" l="1"/>
  <c r="BO1041" i="1"/>
  <c r="BI1045" i="1"/>
  <c r="BO1042" i="1" l="1"/>
  <c r="BJ1043" i="1"/>
  <c r="BI1046" i="1"/>
  <c r="BI1047" i="1" l="1"/>
  <c r="BO1043" i="1"/>
  <c r="BJ1044" i="1"/>
  <c r="BJ1045" i="1" l="1"/>
  <c r="BO1044" i="1"/>
  <c r="BI1048" i="1"/>
  <c r="BJ1046" i="1" l="1"/>
  <c r="BO1045" i="1"/>
  <c r="BI1049" i="1"/>
  <c r="BO1046" i="1" l="1"/>
  <c r="BJ1047" i="1"/>
  <c r="BI1050" i="1"/>
  <c r="BI1051" i="1" l="1"/>
  <c r="BO1047" i="1"/>
  <c r="BJ1048" i="1"/>
  <c r="BJ1049" i="1" l="1"/>
  <c r="BO1048" i="1"/>
  <c r="BI1052" i="1"/>
  <c r="BJ1050" i="1" l="1"/>
  <c r="BO1049" i="1"/>
  <c r="BI1053" i="1"/>
  <c r="BI1054" i="1" l="1"/>
  <c r="BO1050" i="1"/>
  <c r="BJ1051" i="1"/>
  <c r="BO1051" i="1" l="1"/>
  <c r="BJ1052" i="1"/>
  <c r="BI1055" i="1"/>
  <c r="BJ1053" i="1" l="1"/>
  <c r="BO1052" i="1"/>
  <c r="BI1056" i="1"/>
  <c r="BI1057" i="1" l="1"/>
  <c r="BJ1054" i="1"/>
  <c r="BO1053" i="1"/>
  <c r="BI1058" i="1" l="1"/>
  <c r="BO1054" i="1"/>
  <c r="BJ1055" i="1"/>
  <c r="BO1055" i="1" l="1"/>
  <c r="BJ1056" i="1"/>
  <c r="BI1059" i="1"/>
  <c r="BI1060" i="1" l="1"/>
  <c r="BJ1057" i="1"/>
  <c r="BO1056" i="1"/>
  <c r="BJ1058" i="1" l="1"/>
  <c r="BO1057" i="1"/>
  <c r="BI1061" i="1"/>
  <c r="BI1062" i="1" l="1"/>
  <c r="BO1058" i="1"/>
  <c r="BJ1059" i="1"/>
  <c r="BI1063" i="1" l="1"/>
  <c r="BO1059" i="1"/>
  <c r="BJ1060" i="1"/>
  <c r="BJ1061" i="1" l="1"/>
  <c r="BO1060" i="1"/>
  <c r="BI1064" i="1"/>
  <c r="BI1065" i="1" l="1"/>
  <c r="BJ1062" i="1"/>
  <c r="BO1061" i="1"/>
  <c r="BO1062" i="1" l="1"/>
  <c r="BJ1063" i="1"/>
  <c r="BI1066" i="1"/>
  <c r="BI1067" i="1" l="1"/>
  <c r="BO1063" i="1"/>
  <c r="BJ1064" i="1"/>
  <c r="BJ1065" i="1" l="1"/>
  <c r="BO1064" i="1"/>
  <c r="BI1068" i="1"/>
  <c r="BI1069" i="1" l="1"/>
  <c r="BJ1066" i="1"/>
  <c r="BO1065" i="1"/>
  <c r="BO1066" i="1" l="1"/>
  <c r="BJ1067" i="1"/>
  <c r="BI1070" i="1"/>
  <c r="BO1067" i="1" l="1"/>
  <c r="BJ1068" i="1"/>
  <c r="BI1071" i="1"/>
  <c r="BJ1069" i="1" l="1"/>
  <c r="BO1068" i="1"/>
  <c r="BI1072" i="1"/>
  <c r="BI1073" i="1" l="1"/>
  <c r="BJ1070" i="1"/>
  <c r="BO1069" i="1"/>
  <c r="BI1074" i="1" l="1"/>
  <c r="BO1070" i="1"/>
  <c r="BJ1071" i="1"/>
  <c r="BO1071" i="1" l="1"/>
  <c r="BJ1072" i="1"/>
  <c r="BI1075" i="1"/>
  <c r="BI1076" i="1" l="1"/>
  <c r="BJ1073" i="1"/>
  <c r="BO1072" i="1"/>
  <c r="BJ1074" i="1" l="1"/>
  <c r="BO1073" i="1"/>
  <c r="BI1077" i="1"/>
  <c r="BO1074" i="1" l="1"/>
  <c r="BJ1075" i="1"/>
  <c r="BI1078" i="1"/>
  <c r="BI1079" i="1" l="1"/>
  <c r="BO1075" i="1"/>
  <c r="BJ1076" i="1"/>
  <c r="BI1080" i="1" l="1"/>
  <c r="BJ1077" i="1"/>
  <c r="BO1076" i="1"/>
  <c r="BI1081" i="1" l="1"/>
  <c r="BJ1078" i="1"/>
  <c r="BO1077" i="1"/>
  <c r="BI1082" i="1" l="1"/>
  <c r="BO1078" i="1"/>
  <c r="BJ1079" i="1"/>
  <c r="BO1079" i="1" l="1"/>
  <c r="BJ1080" i="1"/>
  <c r="BI1083" i="1"/>
  <c r="BJ1081" i="1" l="1"/>
  <c r="BO1080" i="1"/>
  <c r="BI1084" i="1"/>
  <c r="BI1085" i="1" l="1"/>
  <c r="BJ1082" i="1"/>
  <c r="BO1081" i="1"/>
  <c r="BO1082" i="1" l="1"/>
  <c r="BJ1083" i="1"/>
  <c r="BI1086" i="1"/>
  <c r="BO1083" i="1" l="1"/>
  <c r="BJ1084" i="1"/>
  <c r="BI1087" i="1"/>
  <c r="BI1088" i="1" l="1"/>
  <c r="BJ1085" i="1"/>
  <c r="BO1084" i="1"/>
  <c r="BJ1086" i="1" l="1"/>
  <c r="BO1085" i="1"/>
  <c r="BI1089" i="1"/>
  <c r="BI1090" i="1" l="1"/>
  <c r="BO1086" i="1"/>
  <c r="BJ1087" i="1"/>
  <c r="BI1091" i="1" l="1"/>
  <c r="BO1087" i="1"/>
  <c r="BJ1088" i="1"/>
  <c r="BJ1089" i="1" l="1"/>
  <c r="BO1088" i="1"/>
  <c r="BI1092" i="1"/>
  <c r="BI1093" i="1" l="1"/>
  <c r="BJ1090" i="1"/>
  <c r="BO1089" i="1"/>
  <c r="BO1090" i="1" l="1"/>
  <c r="BJ1091" i="1"/>
  <c r="BI1094" i="1"/>
  <c r="BI1095" i="1" l="1"/>
  <c r="BO1091" i="1"/>
  <c r="BJ1092" i="1"/>
  <c r="BJ1093" i="1" l="1"/>
  <c r="BO1092" i="1"/>
  <c r="BI1096" i="1"/>
  <c r="BI1097" i="1" l="1"/>
  <c r="BJ1094" i="1"/>
  <c r="BO1093" i="1"/>
  <c r="BO1094" i="1" l="1"/>
  <c r="BJ1095" i="1"/>
  <c r="BI1098" i="1"/>
  <c r="BI1099" i="1" l="1"/>
  <c r="BO1095" i="1"/>
  <c r="BJ1096" i="1"/>
  <c r="BJ1097" i="1" l="1"/>
  <c r="BO1096" i="1"/>
  <c r="BI1100" i="1"/>
  <c r="BI1101" i="1" l="1"/>
  <c r="BJ1098" i="1"/>
  <c r="BO1097" i="1"/>
  <c r="BO1098" i="1" l="1"/>
  <c r="BJ1099" i="1"/>
  <c r="BI1102" i="1"/>
  <c r="BI1103" i="1" l="1"/>
  <c r="BO1099" i="1"/>
  <c r="BJ1100" i="1"/>
  <c r="BJ1101" i="1" l="1"/>
  <c r="BO1100" i="1"/>
  <c r="BI1104" i="1"/>
  <c r="BI1105" i="1" l="1"/>
  <c r="BJ1102" i="1"/>
  <c r="BO1101" i="1"/>
  <c r="BO1102" i="1" l="1"/>
  <c r="BJ1103" i="1"/>
  <c r="BI1106" i="1"/>
  <c r="BI1107" i="1" l="1"/>
  <c r="BO1103" i="1"/>
  <c r="BJ1104" i="1"/>
  <c r="BJ1105" i="1" l="1"/>
  <c r="BO1104" i="1"/>
  <c r="BI1108" i="1"/>
  <c r="BI1109" i="1" l="1"/>
  <c r="BJ1106" i="1"/>
  <c r="BO1105" i="1"/>
  <c r="BO1106" i="1" l="1"/>
  <c r="BJ1107" i="1"/>
  <c r="BI1110" i="1"/>
  <c r="BI1111" i="1" l="1"/>
  <c r="BO1107" i="1"/>
  <c r="BJ1108" i="1"/>
  <c r="BJ1109" i="1" l="1"/>
  <c r="BO1108" i="1"/>
  <c r="BI1112" i="1"/>
  <c r="BI1113" i="1" l="1"/>
  <c r="BJ1110" i="1"/>
  <c r="BO1109" i="1"/>
  <c r="BO1110" i="1" l="1"/>
  <c r="BJ1111" i="1"/>
  <c r="BI1114" i="1"/>
  <c r="BI1115" i="1" l="1"/>
  <c r="BO1111" i="1"/>
  <c r="BJ1112" i="1"/>
  <c r="BJ1113" i="1" l="1"/>
  <c r="BO1112" i="1"/>
  <c r="BI1116" i="1"/>
  <c r="BI1117" i="1" l="1"/>
  <c r="BJ1114" i="1"/>
  <c r="BO1113" i="1"/>
  <c r="BI1118" i="1" l="1"/>
  <c r="BO1114" i="1"/>
  <c r="BJ1115" i="1"/>
  <c r="BO1115" i="1" l="1"/>
  <c r="BJ1116" i="1"/>
  <c r="BI1119" i="1"/>
  <c r="BI1120" i="1" l="1"/>
  <c r="BJ1117" i="1"/>
  <c r="BO1116" i="1"/>
  <c r="BJ1118" i="1" l="1"/>
  <c r="BO1117" i="1"/>
  <c r="BI1121" i="1"/>
  <c r="BI1122" i="1" l="1"/>
  <c r="BO1118" i="1"/>
  <c r="BJ1119" i="1"/>
  <c r="BO1119" i="1" l="1"/>
  <c r="BJ1120" i="1"/>
  <c r="BI1123" i="1"/>
  <c r="BI1124" i="1" l="1"/>
  <c r="BJ1121" i="1"/>
  <c r="BO1120" i="1"/>
  <c r="BJ1122" i="1" l="1"/>
  <c r="BO1121" i="1"/>
  <c r="BI1125" i="1"/>
  <c r="BI1126" i="1" l="1"/>
  <c r="BO1122" i="1"/>
  <c r="BJ1123" i="1"/>
  <c r="BO1123" i="1" l="1"/>
  <c r="BJ1124" i="1"/>
  <c r="BI1127" i="1"/>
  <c r="BI1128" i="1" l="1"/>
  <c r="BJ1125" i="1"/>
  <c r="BO1124" i="1"/>
  <c r="BJ1126" i="1" l="1"/>
  <c r="BO1125" i="1"/>
  <c r="BI1129" i="1"/>
  <c r="BI1130" i="1" l="1"/>
  <c r="BO1126" i="1"/>
  <c r="BJ1127" i="1"/>
  <c r="BO1127" i="1" l="1"/>
  <c r="BJ1128" i="1"/>
  <c r="BI1131" i="1"/>
  <c r="BI1132" i="1" l="1"/>
  <c r="BJ1129" i="1"/>
  <c r="BO1128" i="1"/>
  <c r="BJ1130" i="1" l="1"/>
  <c r="BO1129" i="1"/>
  <c r="BI1133" i="1"/>
  <c r="BI1134" i="1" l="1"/>
  <c r="BO1130" i="1"/>
  <c r="BJ1131" i="1"/>
  <c r="BO1131" i="1" l="1"/>
  <c r="BJ1132" i="1"/>
  <c r="BI1135" i="1"/>
  <c r="BJ1133" i="1" l="1"/>
  <c r="BO1132" i="1"/>
  <c r="BI1136" i="1"/>
  <c r="BI1137" i="1" l="1"/>
  <c r="BJ1134" i="1"/>
  <c r="BO1133" i="1"/>
  <c r="BO1134" i="1" l="1"/>
  <c r="BJ1135" i="1"/>
  <c r="BI1138" i="1"/>
  <c r="BO1135" i="1" l="1"/>
  <c r="BJ1136" i="1"/>
  <c r="BI1139" i="1"/>
  <c r="BJ1137" i="1" l="1"/>
  <c r="BO1136" i="1"/>
  <c r="BI1140" i="1"/>
  <c r="BI1141" i="1" l="1"/>
  <c r="BJ1138" i="1"/>
  <c r="BO1137" i="1"/>
  <c r="BI1142" i="1" l="1"/>
  <c r="BO1138" i="1"/>
  <c r="BJ1139" i="1"/>
  <c r="BO1139" i="1" l="1"/>
  <c r="BJ1140" i="1"/>
  <c r="BI1143" i="1"/>
  <c r="BI1144" i="1" l="1"/>
  <c r="BJ1141" i="1"/>
  <c r="BO1140" i="1"/>
  <c r="BJ1142" i="1" l="1"/>
  <c r="BO1141" i="1"/>
  <c r="BI1145" i="1"/>
  <c r="BI1146" i="1" l="1"/>
  <c r="BO1142" i="1"/>
  <c r="BJ1143" i="1"/>
  <c r="BI1147" i="1" l="1"/>
  <c r="BO1143" i="1"/>
  <c r="BJ1144" i="1"/>
  <c r="BI1148" i="1" l="1"/>
  <c r="BJ1145" i="1"/>
  <c r="BO1144" i="1"/>
  <c r="BJ1146" i="1" l="1"/>
  <c r="BO1145" i="1"/>
  <c r="BI1149" i="1"/>
  <c r="BI1150" i="1" l="1"/>
  <c r="BO1146" i="1"/>
  <c r="BJ1147" i="1"/>
  <c r="BO1147" i="1" l="1"/>
  <c r="BJ1148" i="1"/>
  <c r="BI1151" i="1"/>
  <c r="BI1152" i="1" l="1"/>
  <c r="BJ1149" i="1"/>
  <c r="BO1148" i="1"/>
  <c r="BJ1150" i="1" l="1"/>
  <c r="BO1149" i="1"/>
  <c r="BI1153" i="1"/>
  <c r="BI1154" i="1" l="1"/>
  <c r="BO1150" i="1"/>
  <c r="BJ1151" i="1"/>
  <c r="BO1151" i="1" l="1"/>
  <c r="BJ1152" i="1"/>
  <c r="BI1155" i="1"/>
  <c r="BI1156" i="1" l="1"/>
  <c r="BJ1153" i="1"/>
  <c r="BO1152" i="1"/>
  <c r="BJ1154" i="1" l="1"/>
  <c r="BO1153" i="1"/>
  <c r="BI1157" i="1"/>
  <c r="BI1158" i="1" l="1"/>
  <c r="BO1154" i="1"/>
  <c r="BJ1155" i="1"/>
  <c r="BO1155" i="1" l="1"/>
  <c r="BJ1156" i="1"/>
  <c r="BI1159" i="1"/>
  <c r="BI1160" i="1" l="1"/>
  <c r="BJ1157" i="1"/>
  <c r="BO1156" i="1"/>
  <c r="BJ1158" i="1" l="1"/>
  <c r="BO1157" i="1"/>
  <c r="BI1161" i="1"/>
  <c r="BO1158" i="1" l="1"/>
  <c r="BJ1159" i="1"/>
  <c r="BI1162" i="1"/>
  <c r="BI1163" i="1" l="1"/>
  <c r="BO1159" i="1"/>
  <c r="BJ1160" i="1"/>
  <c r="BJ1161" i="1" l="1"/>
  <c r="BO1160" i="1"/>
  <c r="BI1164" i="1"/>
  <c r="BJ1162" i="1" l="1"/>
  <c r="BO1161" i="1"/>
  <c r="BI1165" i="1"/>
  <c r="BI1166" i="1" l="1"/>
  <c r="BO1162" i="1"/>
  <c r="BJ1163" i="1"/>
  <c r="BI1167" i="1" l="1"/>
  <c r="BO1163" i="1"/>
  <c r="BJ1164" i="1"/>
  <c r="BI1168" i="1" l="1"/>
  <c r="BJ1165" i="1"/>
  <c r="BO1164" i="1"/>
  <c r="BJ1166" i="1" l="1"/>
  <c r="BO1165" i="1"/>
  <c r="BI1169" i="1"/>
  <c r="BO1166" i="1" l="1"/>
  <c r="BJ1167" i="1"/>
  <c r="BI1170" i="1"/>
  <c r="BI1171" i="1" l="1"/>
  <c r="BO1167" i="1"/>
  <c r="BJ1168" i="1"/>
  <c r="BJ1169" i="1" l="1"/>
  <c r="BO1168" i="1"/>
  <c r="BI1172" i="1"/>
  <c r="BI1173" i="1" l="1"/>
  <c r="BJ1170" i="1"/>
  <c r="BO1169" i="1"/>
  <c r="BO1170" i="1" l="1"/>
  <c r="BJ1171" i="1"/>
  <c r="BI1174" i="1"/>
  <c r="BI1175" i="1" l="1"/>
  <c r="BO1171" i="1"/>
  <c r="BJ1172" i="1"/>
  <c r="BI1176" i="1" l="1"/>
  <c r="BJ1173" i="1"/>
  <c r="BO1172" i="1"/>
  <c r="BJ1174" i="1" l="1"/>
  <c r="BO1173" i="1"/>
  <c r="BI1177" i="1"/>
  <c r="BO1174" i="1" l="1"/>
  <c r="BJ1175" i="1"/>
  <c r="BI1178" i="1"/>
  <c r="BO1175" i="1" l="1"/>
  <c r="BJ1176" i="1"/>
  <c r="BI1179" i="1"/>
  <c r="BI1180" i="1" l="1"/>
  <c r="BJ1177" i="1"/>
  <c r="BO1176" i="1"/>
  <c r="BI1181" i="1" l="1"/>
  <c r="BJ1178" i="1"/>
  <c r="BO1177" i="1"/>
  <c r="BO1178" i="1" l="1"/>
  <c r="BJ1179" i="1"/>
  <c r="BI1182" i="1"/>
  <c r="BI1183" i="1" l="1"/>
  <c r="BO1179" i="1"/>
  <c r="BJ1180" i="1"/>
  <c r="BI1184" i="1" l="1"/>
  <c r="BJ1181" i="1"/>
  <c r="BO1180" i="1"/>
  <c r="BJ1182" i="1" l="1"/>
  <c r="BO1181" i="1"/>
  <c r="BI1185" i="1"/>
  <c r="BI1186" i="1" l="1"/>
  <c r="BO1182" i="1"/>
  <c r="BJ1183" i="1"/>
  <c r="BO1183" i="1" l="1"/>
  <c r="BJ1184" i="1"/>
  <c r="BI1187" i="1"/>
  <c r="BI1188" i="1" l="1"/>
  <c r="BJ1185" i="1"/>
  <c r="BO1184" i="1"/>
  <c r="BI1189" i="1" l="1"/>
  <c r="BJ1186" i="1"/>
  <c r="BO1185" i="1"/>
  <c r="BO1186" i="1" l="1"/>
  <c r="BJ1187" i="1"/>
  <c r="BI1190" i="1"/>
  <c r="BI1191" i="1" l="1"/>
  <c r="BO1187" i="1"/>
  <c r="BJ1188" i="1"/>
  <c r="BJ1189" i="1" l="1"/>
  <c r="BO1188" i="1"/>
  <c r="BI1192" i="1"/>
  <c r="BI1193" i="1" l="1"/>
  <c r="BJ1190" i="1"/>
  <c r="BO1189" i="1"/>
  <c r="BO1190" i="1" l="1"/>
  <c r="BJ1191" i="1"/>
  <c r="BI1194" i="1"/>
  <c r="BO1191" i="1" l="1"/>
  <c r="BJ1192" i="1"/>
  <c r="BI1195" i="1"/>
  <c r="BI1196" i="1" l="1"/>
  <c r="BJ1193" i="1"/>
  <c r="BO1192" i="1"/>
  <c r="BJ1194" i="1" l="1"/>
  <c r="BO1193" i="1"/>
  <c r="BI1197" i="1"/>
  <c r="BO1194" i="1" l="1"/>
  <c r="BJ1195" i="1"/>
  <c r="BI1198" i="1"/>
  <c r="BI1199" i="1" l="1"/>
  <c r="BO1195" i="1"/>
  <c r="BJ1196" i="1"/>
  <c r="BI1200" i="1" l="1"/>
  <c r="BJ1197" i="1"/>
  <c r="BO1196" i="1"/>
  <c r="BJ1198" i="1" l="1"/>
  <c r="BO1197" i="1"/>
  <c r="BI1201" i="1"/>
  <c r="BI1202" i="1" l="1"/>
  <c r="BO1198" i="1"/>
  <c r="BJ1199" i="1"/>
  <c r="BO1199" i="1" l="1"/>
  <c r="BJ1200" i="1"/>
  <c r="BI1203" i="1"/>
  <c r="BJ1201" i="1" l="1"/>
  <c r="BO1200" i="1"/>
  <c r="BI1204" i="1"/>
  <c r="BI1205" i="1" l="1"/>
  <c r="BJ1202" i="1"/>
  <c r="BO1201" i="1"/>
  <c r="BO1202" i="1" l="1"/>
  <c r="BJ1203" i="1"/>
  <c r="BI1206" i="1"/>
  <c r="BI1207" i="1" l="1"/>
  <c r="BO1203" i="1"/>
  <c r="BJ1204" i="1"/>
  <c r="BI1208" i="1" l="1"/>
  <c r="BJ1205" i="1"/>
  <c r="BO1204" i="1"/>
  <c r="BJ1206" i="1" l="1"/>
  <c r="BO1205" i="1"/>
  <c r="BI1209" i="1"/>
  <c r="BI1210" i="1" l="1"/>
  <c r="BO1206" i="1"/>
  <c r="BJ1207" i="1"/>
  <c r="BO1207" i="1" l="1"/>
  <c r="BJ1208" i="1"/>
  <c r="BI1211" i="1"/>
  <c r="BI1212" i="1" l="1"/>
  <c r="BJ1209" i="1"/>
  <c r="BO1208" i="1"/>
  <c r="BJ1210" i="1" l="1"/>
  <c r="BO1209" i="1"/>
  <c r="BI1213" i="1"/>
  <c r="BI1214" i="1" l="1"/>
  <c r="BO1210" i="1"/>
  <c r="BJ1211" i="1"/>
  <c r="BI1215" i="1" l="1"/>
  <c r="BO1211" i="1"/>
  <c r="BJ1212" i="1"/>
  <c r="BJ1213" i="1" l="1"/>
  <c r="BO1212" i="1"/>
  <c r="BI1216" i="1"/>
  <c r="BI1217" i="1" l="1"/>
  <c r="BJ1214" i="1"/>
  <c r="BO1213" i="1"/>
  <c r="BO1214" i="1" l="1"/>
  <c r="BJ1215" i="1"/>
  <c r="BI1218" i="1"/>
  <c r="BI1219" i="1" l="1"/>
  <c r="BO1215" i="1"/>
  <c r="BJ1216" i="1"/>
  <c r="BI1220" i="1" l="1"/>
  <c r="BJ1217" i="1"/>
  <c r="BO1216" i="1"/>
  <c r="BJ1218" i="1" l="1"/>
  <c r="BO1217" i="1"/>
  <c r="BI1221" i="1"/>
  <c r="BO1218" i="1" l="1"/>
  <c r="BJ1219" i="1"/>
  <c r="BI1222" i="1"/>
  <c r="BI1223" i="1" l="1"/>
  <c r="BO1219" i="1"/>
  <c r="BJ1220" i="1"/>
  <c r="BJ1221" i="1" l="1"/>
  <c r="BO1220" i="1"/>
  <c r="BI1224" i="1"/>
  <c r="BI1225" i="1" l="1"/>
  <c r="BJ1222" i="1"/>
  <c r="BO1221" i="1"/>
  <c r="BO1222" i="1" l="1"/>
  <c r="BJ1223" i="1"/>
  <c r="BI1226" i="1"/>
  <c r="BI1227" i="1" l="1"/>
  <c r="BO1223" i="1"/>
  <c r="BJ1224" i="1"/>
  <c r="BJ1225" i="1" l="1"/>
  <c r="BO1224" i="1"/>
  <c r="BI1228" i="1"/>
  <c r="BI1229" i="1" l="1"/>
  <c r="BJ1226" i="1"/>
  <c r="BO1225" i="1"/>
  <c r="BO1226" i="1" l="1"/>
  <c r="BJ1227" i="1"/>
  <c r="BI1230" i="1"/>
  <c r="BI1231" i="1" l="1"/>
  <c r="BO1227" i="1"/>
  <c r="BJ1228" i="1"/>
  <c r="BI1232" i="1" l="1"/>
  <c r="BJ1229" i="1"/>
  <c r="BO1228" i="1"/>
  <c r="BI1233" i="1" l="1"/>
  <c r="BJ1230" i="1"/>
  <c r="BO1229" i="1"/>
  <c r="BO1230" i="1" l="1"/>
  <c r="BJ1231" i="1"/>
  <c r="BI1234" i="1"/>
  <c r="BI1235" i="1" l="1"/>
  <c r="BO1231" i="1"/>
  <c r="BJ1232" i="1"/>
  <c r="BJ1233" i="1" l="1"/>
  <c r="BO1232" i="1"/>
  <c r="BI1236" i="1"/>
  <c r="BI1237" i="1" l="1"/>
  <c r="BJ1234" i="1"/>
  <c r="BO1233" i="1"/>
  <c r="BO1234" i="1" l="1"/>
  <c r="BJ1235" i="1"/>
  <c r="BI1238" i="1"/>
  <c r="BO1235" i="1" l="1"/>
  <c r="BJ1236" i="1"/>
  <c r="BI1239" i="1"/>
  <c r="BJ1237" i="1" l="1"/>
  <c r="BO1236" i="1"/>
  <c r="BI1240" i="1"/>
  <c r="BI1241" i="1" l="1"/>
  <c r="BJ1238" i="1"/>
  <c r="BO1237" i="1"/>
  <c r="BO1238" i="1" l="1"/>
  <c r="BJ1239" i="1"/>
  <c r="BI1242" i="1"/>
  <c r="BI1243" i="1" l="1"/>
  <c r="BO1239" i="1"/>
  <c r="BJ1240" i="1"/>
  <c r="BJ1241" i="1" l="1"/>
  <c r="BO1240" i="1"/>
  <c r="BI1244" i="1"/>
  <c r="BI1245" i="1" l="1"/>
  <c r="BJ1242" i="1"/>
  <c r="BO1241" i="1"/>
  <c r="BO1242" i="1" l="1"/>
  <c r="BJ1243" i="1"/>
  <c r="BI1246" i="1"/>
  <c r="BI1247" i="1" l="1"/>
  <c r="BO1243" i="1"/>
  <c r="BJ1244" i="1"/>
  <c r="BJ1245" i="1" l="1"/>
  <c r="BO1244" i="1"/>
  <c r="BI1248" i="1"/>
  <c r="BI1249" i="1" l="1"/>
  <c r="BJ1246" i="1"/>
  <c r="BO1245" i="1"/>
  <c r="BI1250" i="1" l="1"/>
  <c r="BO1246" i="1"/>
  <c r="BJ1247" i="1"/>
  <c r="BO1247" i="1" l="1"/>
  <c r="BJ1248" i="1"/>
  <c r="BI1251" i="1"/>
  <c r="BI1252" i="1" l="1"/>
  <c r="BJ1249" i="1"/>
  <c r="BO1248" i="1"/>
  <c r="BJ1250" i="1" l="1"/>
  <c r="BO1249" i="1"/>
  <c r="BI1253" i="1"/>
  <c r="BO1250" i="1" l="1"/>
  <c r="BJ1251" i="1"/>
  <c r="BI1254" i="1"/>
  <c r="BI1255" i="1" l="1"/>
  <c r="BO1251" i="1"/>
  <c r="BJ1252" i="1"/>
  <c r="BJ1253" i="1" l="1"/>
  <c r="BO1252" i="1"/>
  <c r="BI1256" i="1"/>
  <c r="BI1257" i="1" l="1"/>
  <c r="BJ1254" i="1"/>
  <c r="BO1253" i="1"/>
  <c r="BO1254" i="1" l="1"/>
  <c r="BJ1255" i="1"/>
  <c r="BI1258" i="1"/>
  <c r="BI1259" i="1" l="1"/>
  <c r="BO1255" i="1"/>
  <c r="BJ1256" i="1"/>
  <c r="BI1260" i="1" l="1"/>
  <c r="BJ1257" i="1"/>
  <c r="BO1256" i="1"/>
  <c r="BJ1258" i="1" l="1"/>
  <c r="BO1257" i="1"/>
  <c r="BI1261" i="1"/>
  <c r="BI1262" i="1" l="1"/>
  <c r="BO1258" i="1"/>
  <c r="BJ1259" i="1"/>
  <c r="BO1259" i="1" l="1"/>
  <c r="BJ1260" i="1"/>
  <c r="BI1263" i="1"/>
  <c r="BI1264" i="1" l="1"/>
  <c r="BJ1261" i="1"/>
  <c r="BO1260" i="1"/>
  <c r="BI1265" i="1" l="1"/>
  <c r="BJ1262" i="1"/>
  <c r="BO1261" i="1"/>
  <c r="BO1262" i="1" l="1"/>
  <c r="BJ1263" i="1"/>
  <c r="BI1266" i="1"/>
  <c r="BI1267" i="1" l="1"/>
  <c r="BO1263" i="1"/>
  <c r="BJ1264" i="1"/>
  <c r="BJ1265" i="1" l="1"/>
  <c r="BO1264" i="1"/>
  <c r="BI1268" i="1"/>
  <c r="BI1269" i="1" l="1"/>
  <c r="BJ1266" i="1"/>
  <c r="BO1265" i="1"/>
  <c r="BO1266" i="1" l="1"/>
  <c r="BJ1267" i="1"/>
  <c r="BI1270" i="1"/>
  <c r="BI1271" i="1" l="1"/>
  <c r="BO1267" i="1"/>
  <c r="BJ1268" i="1"/>
  <c r="BI1272" i="1" l="1"/>
  <c r="BO1268" i="1"/>
  <c r="BJ1269" i="1"/>
  <c r="BJ1270" i="1" l="1"/>
  <c r="BO1269" i="1"/>
  <c r="BI1273" i="1"/>
  <c r="BI1274" i="1" l="1"/>
  <c r="BJ1271" i="1"/>
  <c r="BO1270" i="1"/>
  <c r="BO1271" i="1" l="1"/>
  <c r="BJ1272" i="1"/>
  <c r="BI1275" i="1"/>
  <c r="BO1272" i="1" l="1"/>
  <c r="BJ1273" i="1"/>
  <c r="BI1276" i="1"/>
  <c r="BI1277" i="1" l="1"/>
  <c r="BJ1274" i="1"/>
  <c r="BO1273" i="1"/>
  <c r="BI1278" i="1" l="1"/>
  <c r="BO1274" i="1"/>
  <c r="BJ1275" i="1"/>
  <c r="BI1279" i="1" l="1"/>
  <c r="BO1275" i="1"/>
  <c r="BJ1276" i="1"/>
  <c r="BO1276" i="1" l="1"/>
  <c r="BJ1277" i="1"/>
  <c r="BI1280" i="1"/>
  <c r="BI1281" i="1" l="1"/>
  <c r="BJ1278" i="1"/>
  <c r="BO1277" i="1"/>
  <c r="BJ1279" i="1" l="1"/>
  <c r="BO1278" i="1"/>
  <c r="BI1282" i="1"/>
  <c r="BO1279" i="1" l="1"/>
  <c r="BJ1280" i="1"/>
  <c r="BI1283" i="1"/>
  <c r="BI1284" i="1" l="1"/>
  <c r="BJ1281" i="1"/>
  <c r="BO1280" i="1"/>
  <c r="BI1285" i="1" l="1"/>
  <c r="BJ1282" i="1"/>
  <c r="BO1281" i="1"/>
  <c r="BO1282" i="1" l="1"/>
  <c r="BJ1283" i="1"/>
  <c r="BI1286" i="1"/>
  <c r="BI1287" i="1" l="1"/>
  <c r="BO1283" i="1"/>
  <c r="BJ1284" i="1"/>
  <c r="BO1284" i="1" l="1"/>
  <c r="BJ1285" i="1"/>
  <c r="BI1288" i="1"/>
  <c r="BI1289" i="1" l="1"/>
  <c r="BJ1286" i="1"/>
  <c r="BO1285" i="1"/>
  <c r="BI1290" i="1" l="1"/>
  <c r="BJ1287" i="1"/>
  <c r="BO1286" i="1"/>
  <c r="BO1287" i="1" l="1"/>
  <c r="BJ1288" i="1"/>
  <c r="BI1291" i="1"/>
  <c r="BI1292" i="1" l="1"/>
  <c r="BJ1289" i="1"/>
  <c r="BO1288" i="1"/>
  <c r="BI1293" i="1" l="1"/>
  <c r="BJ1290" i="1"/>
  <c r="BO1289" i="1"/>
  <c r="BO1290" i="1" l="1"/>
  <c r="BJ1291" i="1"/>
  <c r="BI1294" i="1"/>
  <c r="BI1295" i="1" l="1"/>
  <c r="BO1291" i="1"/>
  <c r="BJ1292" i="1"/>
  <c r="BO1292" i="1" l="1"/>
  <c r="BJ1293" i="1"/>
  <c r="BI1296" i="1"/>
  <c r="BI1297" i="1" l="1"/>
  <c r="BJ1294" i="1"/>
  <c r="BO1293" i="1"/>
  <c r="BJ1295" i="1" l="1"/>
  <c r="BO1294" i="1"/>
  <c r="BI1298" i="1"/>
  <c r="BI1299" i="1" l="1"/>
  <c r="BO1295" i="1"/>
  <c r="BJ1296" i="1"/>
  <c r="BO1296" i="1" l="1"/>
  <c r="BJ1297" i="1"/>
  <c r="BI1300" i="1"/>
  <c r="BI1301" i="1" l="1"/>
  <c r="BJ1298" i="1"/>
  <c r="BO1297" i="1"/>
  <c r="BO1298" i="1" l="1"/>
  <c r="BJ1299" i="1"/>
  <c r="BI1302" i="1"/>
  <c r="BI1303" i="1" l="1"/>
  <c r="BO1299" i="1"/>
  <c r="BJ1300" i="1"/>
  <c r="BO1300" i="1" l="1"/>
  <c r="BJ1301" i="1"/>
  <c r="BI1304" i="1"/>
  <c r="BI1305" i="1" l="1"/>
  <c r="BJ1302" i="1"/>
  <c r="BO1301" i="1"/>
  <c r="BI1306" i="1" l="1"/>
  <c r="BJ1303" i="1"/>
  <c r="BO1302" i="1"/>
  <c r="BO1303" i="1" l="1"/>
  <c r="BJ1304" i="1"/>
  <c r="BI1307" i="1"/>
  <c r="BI1308" i="1" l="1"/>
  <c r="BJ1305" i="1"/>
  <c r="BO1304" i="1"/>
  <c r="BI1309" i="1" l="1"/>
  <c r="BJ1306" i="1"/>
  <c r="BO1305" i="1"/>
  <c r="BI1310" i="1" l="1"/>
  <c r="BO1306" i="1"/>
  <c r="BJ1307" i="1"/>
  <c r="BO1307" i="1" l="1"/>
  <c r="BJ1308" i="1"/>
  <c r="BI1311" i="1"/>
  <c r="BI1312" i="1" l="1"/>
  <c r="BO1308" i="1"/>
  <c r="BJ1309" i="1"/>
  <c r="BI1313" i="1" l="1"/>
  <c r="BJ1310" i="1"/>
  <c r="BO1309" i="1"/>
  <c r="BJ1311" i="1" l="1"/>
  <c r="BO1310" i="1"/>
  <c r="BI1314" i="1"/>
  <c r="BI1315" i="1" l="1"/>
  <c r="BO1311" i="1"/>
  <c r="BJ1312" i="1"/>
  <c r="BO1312" i="1" l="1"/>
  <c r="BJ1313" i="1"/>
  <c r="BI1316" i="1"/>
  <c r="BI1317" i="1" l="1"/>
  <c r="BJ1314" i="1"/>
  <c r="BO1313" i="1"/>
  <c r="BO1314" i="1" l="1"/>
  <c r="BJ1315" i="1"/>
  <c r="BI1318" i="1"/>
  <c r="BI1319" i="1" l="1"/>
  <c r="BO1315" i="1"/>
  <c r="BJ1316" i="1"/>
  <c r="BI1320" i="1" l="1"/>
  <c r="BO1316" i="1"/>
  <c r="BJ1317" i="1"/>
  <c r="BJ1318" i="1" l="1"/>
  <c r="BO1317" i="1"/>
  <c r="BI1321" i="1"/>
  <c r="BI1322" i="1" l="1"/>
  <c r="BJ1319" i="1"/>
  <c r="BO1318" i="1"/>
  <c r="BI1323" i="1" l="1"/>
  <c r="BO1319" i="1"/>
  <c r="BJ1320" i="1"/>
  <c r="BI1324" i="1" l="1"/>
  <c r="BJ1321" i="1"/>
  <c r="BO1320" i="1"/>
  <c r="BJ1322" i="1" l="1"/>
  <c r="BO1321" i="1"/>
  <c r="BI1325" i="1"/>
  <c r="BO1322" i="1" l="1"/>
  <c r="BJ1323" i="1"/>
  <c r="BI1326" i="1"/>
  <c r="BI1327" i="1" l="1"/>
  <c r="BO1323" i="1"/>
  <c r="BJ1324" i="1"/>
  <c r="BI1328" i="1" l="1"/>
  <c r="BJ1325" i="1"/>
  <c r="BO1324" i="1"/>
  <c r="BI1329" i="1" l="1"/>
  <c r="BO1325" i="1"/>
  <c r="BJ1326" i="1"/>
  <c r="BI1330" i="1" l="1"/>
  <c r="BO1326" i="1"/>
  <c r="BJ1327" i="1"/>
  <c r="BI1331" i="1" l="1"/>
  <c r="BJ1328" i="1"/>
  <c r="BO1327" i="1"/>
  <c r="BJ1329" i="1" l="1"/>
  <c r="BO1328" i="1"/>
  <c r="BI1332" i="1"/>
  <c r="BI1333" i="1" l="1"/>
  <c r="BJ1330" i="1"/>
  <c r="BO1329" i="1"/>
  <c r="BI1334" i="1" l="1"/>
  <c r="BO1330" i="1"/>
  <c r="BJ1331" i="1"/>
  <c r="BO1331" i="1" l="1"/>
  <c r="BJ1332" i="1"/>
  <c r="BI1335" i="1"/>
  <c r="BI1336" i="1" l="1"/>
  <c r="BJ1333" i="1"/>
  <c r="BO1332" i="1"/>
  <c r="BO1333" i="1" l="1"/>
  <c r="BJ1334" i="1"/>
  <c r="BI1337" i="1"/>
  <c r="BI1338" i="1" l="1"/>
  <c r="BO1334" i="1"/>
  <c r="BJ1335" i="1"/>
  <c r="BJ1336" i="1" l="1"/>
  <c r="BO1335" i="1"/>
  <c r="BI1339" i="1"/>
  <c r="BI1340" i="1" l="1"/>
  <c r="BJ1337" i="1"/>
  <c r="BO1336" i="1"/>
  <c r="BI1341" i="1" l="1"/>
  <c r="BJ1338" i="1"/>
  <c r="BO1337" i="1"/>
  <c r="BI1342" i="1" l="1"/>
  <c r="BO1338" i="1"/>
  <c r="BJ1339" i="1"/>
  <c r="BO1339" i="1" l="1"/>
  <c r="BJ1340" i="1"/>
  <c r="BI1343" i="1"/>
  <c r="BI1344" i="1" l="1"/>
  <c r="BJ1341" i="1"/>
  <c r="BO1340" i="1"/>
  <c r="BO1341" i="1" l="1"/>
  <c r="BJ1342" i="1"/>
  <c r="BI1345" i="1"/>
  <c r="BI1346" i="1" l="1"/>
  <c r="BO1342" i="1"/>
  <c r="BJ1343" i="1"/>
  <c r="BO1343" i="1" l="1"/>
  <c r="BJ1344" i="1"/>
  <c r="BI1347" i="1"/>
  <c r="BI1348" i="1" l="1"/>
  <c r="BJ1345" i="1"/>
  <c r="BO1344" i="1"/>
  <c r="BO1345" i="1" l="1"/>
  <c r="BJ1346" i="1"/>
  <c r="BI1349" i="1"/>
  <c r="BI1350" i="1" l="1"/>
  <c r="BO1346" i="1"/>
  <c r="BJ1347" i="1"/>
  <c r="BJ1348" i="1" l="1"/>
  <c r="BO1347" i="1"/>
  <c r="BI1351" i="1"/>
  <c r="BI1352" i="1" l="1"/>
  <c r="BJ1349" i="1"/>
  <c r="BO1348" i="1"/>
  <c r="BI1353" i="1" l="1"/>
  <c r="BO1349" i="1"/>
  <c r="BJ1350" i="1"/>
  <c r="BI1354" i="1" l="1"/>
  <c r="BO1350" i="1"/>
  <c r="BJ1351" i="1"/>
  <c r="BI1355" i="1" l="1"/>
  <c r="BO1351" i="1"/>
  <c r="BJ1352" i="1"/>
  <c r="BI1356" i="1" l="1"/>
  <c r="BJ1353" i="1"/>
  <c r="BO1352" i="1"/>
  <c r="BO1353" i="1" l="1"/>
  <c r="BJ1354" i="1"/>
  <c r="BI1357" i="1"/>
  <c r="BI1358" i="1" l="1"/>
  <c r="BO1354" i="1"/>
  <c r="BJ1355" i="1"/>
  <c r="BJ1356" i="1" l="1"/>
  <c r="BO1355" i="1"/>
  <c r="BI1359" i="1"/>
  <c r="BI1360" i="1" l="1"/>
  <c r="BJ1357" i="1"/>
  <c r="BO1356" i="1"/>
  <c r="BO1357" i="1" l="1"/>
  <c r="BJ1358" i="1"/>
  <c r="BI1361" i="1"/>
  <c r="BI1362" i="1" l="1"/>
  <c r="BO1358" i="1"/>
  <c r="BJ1359" i="1"/>
  <c r="BJ1360" i="1" l="1"/>
  <c r="BO1359" i="1"/>
  <c r="BI1363" i="1"/>
  <c r="BI1364" i="1" l="1"/>
  <c r="BJ1361" i="1"/>
  <c r="BO1360" i="1"/>
  <c r="BJ1362" i="1" l="1"/>
  <c r="BO1361" i="1"/>
  <c r="BI1365" i="1"/>
  <c r="BI1366" i="1" l="1"/>
  <c r="BO1362" i="1"/>
  <c r="BJ1363" i="1"/>
  <c r="BI1367" i="1" l="1"/>
  <c r="BO1363" i="1"/>
  <c r="BJ1364" i="1"/>
  <c r="BJ1365" i="1" l="1"/>
  <c r="BO1364" i="1"/>
  <c r="BI1368" i="1"/>
  <c r="BI1369" i="1" l="1"/>
  <c r="BO1365" i="1"/>
  <c r="BJ1366" i="1"/>
  <c r="BO1366" i="1" l="1"/>
  <c r="BJ1367" i="1"/>
  <c r="BI1370" i="1"/>
  <c r="BI1371" i="1" l="1"/>
  <c r="BJ1368" i="1"/>
  <c r="BO1367" i="1"/>
  <c r="BJ1369" i="1" l="1"/>
  <c r="BO1368" i="1"/>
  <c r="BI1372" i="1"/>
  <c r="BI1373" i="1" l="1"/>
  <c r="BO1369" i="1"/>
  <c r="BJ1370" i="1"/>
  <c r="BO1370" i="1" l="1"/>
  <c r="BJ1371" i="1"/>
  <c r="BI1374" i="1"/>
  <c r="BO1371" i="1" l="1"/>
  <c r="BJ1372" i="1"/>
  <c r="BI1375" i="1"/>
  <c r="BI1376" i="1" l="1"/>
  <c r="BJ1373" i="1"/>
  <c r="BO1372" i="1"/>
  <c r="BO1373" i="1" l="1"/>
  <c r="BJ1374" i="1"/>
  <c r="BI1377" i="1"/>
  <c r="BI1378" i="1" l="1"/>
  <c r="BO1374" i="1"/>
  <c r="BJ1375" i="1"/>
  <c r="BJ1376" i="1" l="1"/>
  <c r="BO1375" i="1"/>
  <c r="BI1379" i="1"/>
  <c r="BI1380" i="1" l="1"/>
  <c r="BJ1377" i="1"/>
  <c r="BO1376" i="1"/>
  <c r="BI1381" i="1" l="1"/>
  <c r="BO1377" i="1"/>
  <c r="BJ1378" i="1"/>
  <c r="BO1378" i="1" l="1"/>
  <c r="BJ1379" i="1"/>
  <c r="BI1382" i="1"/>
  <c r="BJ1380" i="1" l="1"/>
  <c r="BO1379" i="1"/>
  <c r="BI1383" i="1"/>
  <c r="BJ1381" i="1" l="1"/>
  <c r="BO1380" i="1"/>
  <c r="BI1384" i="1"/>
  <c r="BI1385" i="1" l="1"/>
  <c r="BJ1382" i="1"/>
  <c r="BO1381" i="1"/>
  <c r="BO1382" i="1" l="1"/>
  <c r="BJ1383" i="1"/>
  <c r="BI1386" i="1"/>
  <c r="BI1387" i="1" l="1"/>
  <c r="BO1383" i="1"/>
  <c r="BJ1384" i="1"/>
  <c r="BI1388" i="1" l="1"/>
  <c r="BJ1385" i="1"/>
  <c r="BO1384" i="1"/>
  <c r="BI1389" i="1" l="1"/>
  <c r="BO1385" i="1"/>
  <c r="BJ1386" i="1"/>
  <c r="BO1386" i="1" l="1"/>
  <c r="BJ1387" i="1"/>
  <c r="BI1390" i="1"/>
  <c r="BI1391" i="1" l="1"/>
  <c r="BJ1388" i="1"/>
  <c r="BO1387" i="1"/>
  <c r="BJ1389" i="1" l="1"/>
  <c r="BO1388" i="1"/>
  <c r="BI1392" i="1"/>
  <c r="BI1393" i="1" l="1"/>
  <c r="BJ1390" i="1"/>
  <c r="BO1389" i="1"/>
  <c r="BO1390" i="1" l="1"/>
  <c r="BJ1391" i="1"/>
  <c r="BI1394" i="1"/>
  <c r="BI1395" i="1" l="1"/>
  <c r="BJ1392" i="1"/>
  <c r="BO1391" i="1"/>
  <c r="BI1396" i="1" l="1"/>
  <c r="BJ1393" i="1"/>
  <c r="BO1392" i="1"/>
  <c r="BI1397" i="1" l="1"/>
  <c r="BO1393" i="1"/>
  <c r="BJ1394" i="1"/>
  <c r="BO1394" i="1" l="1"/>
  <c r="BJ1395" i="1"/>
  <c r="BI1398" i="1"/>
  <c r="BI1399" i="1" l="1"/>
  <c r="BJ1396" i="1"/>
  <c r="BO1395" i="1"/>
  <c r="BI1400" i="1" l="1"/>
  <c r="BJ1397" i="1"/>
  <c r="BO1396" i="1"/>
  <c r="BO1397" i="1" l="1"/>
  <c r="BJ1398" i="1"/>
  <c r="BI1401" i="1"/>
  <c r="BI1402" i="1" l="1"/>
  <c r="BO1398" i="1"/>
  <c r="BJ1399" i="1"/>
  <c r="BJ1400" i="1" l="1"/>
  <c r="BO1399" i="1"/>
  <c r="BI1403" i="1"/>
  <c r="BI1404" i="1" l="1"/>
  <c r="BJ1401" i="1"/>
  <c r="BO1400" i="1"/>
  <c r="BO1401" i="1" l="1"/>
  <c r="BJ1402" i="1"/>
  <c r="BI1405" i="1"/>
  <c r="BO1402" i="1" l="1"/>
  <c r="BJ1403" i="1"/>
  <c r="BI1406" i="1"/>
  <c r="BI1407" i="1" l="1"/>
  <c r="BJ1404" i="1"/>
  <c r="BO1403" i="1"/>
  <c r="BJ1405" i="1" l="1"/>
  <c r="BO1404" i="1"/>
  <c r="BI1408" i="1"/>
  <c r="BJ1406" i="1" l="1"/>
  <c r="BO1405" i="1"/>
  <c r="BI1409" i="1"/>
  <c r="BI1410" i="1" l="1"/>
  <c r="BO1406" i="1"/>
  <c r="BJ1407" i="1"/>
  <c r="BJ1408" i="1" l="1"/>
  <c r="BO1407" i="1"/>
  <c r="BI1411" i="1"/>
  <c r="BI1412" i="1" l="1"/>
  <c r="BJ1409" i="1"/>
  <c r="BO1408" i="1"/>
  <c r="BO1409" i="1" l="1"/>
  <c r="BJ1410" i="1"/>
  <c r="BI1413" i="1"/>
  <c r="BI1414" i="1" l="1"/>
  <c r="BO1410" i="1"/>
  <c r="BJ1411" i="1"/>
  <c r="BJ1412" i="1" l="1"/>
  <c r="BO1411" i="1"/>
  <c r="BJ1413" i="1" l="1"/>
  <c r="BO1412" i="1"/>
  <c r="BJ1414" i="1" l="1"/>
  <c r="BO1414" i="1" s="1"/>
  <c r="G2" i="1" s="1"/>
  <c r="BO1413" i="1"/>
  <c r="G3" i="1" l="1"/>
  <c r="BL5" i="1"/>
  <c r="BL4" i="1"/>
  <c r="BL6" i="1"/>
  <c r="BL8" i="1"/>
  <c r="BL9" i="1"/>
  <c r="BL10" i="1"/>
  <c r="BL11" i="1"/>
  <c r="BL12" i="1"/>
  <c r="BL13" i="1"/>
  <c r="BL14" i="1"/>
  <c r="BL15" i="1"/>
  <c r="BL16" i="1"/>
  <c r="BL17" i="1"/>
  <c r="BL18" i="1"/>
  <c r="BL19" i="1"/>
  <c r="BL20" i="1"/>
  <c r="BL21" i="1"/>
  <c r="BL22" i="1"/>
  <c r="BL23" i="1"/>
  <c r="BL24" i="1"/>
  <c r="BL25" i="1"/>
  <c r="BL26" i="1"/>
  <c r="BL27" i="1"/>
  <c r="BL28" i="1"/>
  <c r="BL29" i="1"/>
  <c r="BL30" i="1"/>
  <c r="BL31" i="1"/>
  <c r="BL32" i="1"/>
  <c r="BL33" i="1"/>
  <c r="BL34" i="1"/>
  <c r="BL35" i="1"/>
  <c r="BL36" i="1"/>
  <c r="BL37" i="1"/>
  <c r="BL38" i="1"/>
  <c r="BL39" i="1"/>
  <c r="BL40" i="1"/>
  <c r="BL41" i="1"/>
  <c r="BL42" i="1"/>
  <c r="BL43" i="1"/>
  <c r="BL44" i="1"/>
  <c r="BL45" i="1"/>
  <c r="BL46" i="1"/>
  <c r="BL47" i="1"/>
  <c r="BL48" i="1"/>
  <c r="BL49" i="1"/>
  <c r="BL50" i="1"/>
  <c r="BL51" i="1"/>
  <c r="BL52" i="1"/>
  <c r="BL53" i="1"/>
  <c r="BL54" i="1"/>
  <c r="BL55" i="1"/>
  <c r="BL56" i="1"/>
  <c r="BL57" i="1"/>
  <c r="BL58" i="1"/>
  <c r="BL59" i="1"/>
  <c r="BL60" i="1"/>
  <c r="BL61" i="1"/>
  <c r="BL62" i="1"/>
  <c r="BL63" i="1"/>
  <c r="BL64" i="1"/>
  <c r="BL65" i="1"/>
  <c r="BL66" i="1"/>
  <c r="BL67" i="1"/>
  <c r="BL68" i="1"/>
  <c r="BL69" i="1"/>
  <c r="BL70" i="1"/>
  <c r="BL71" i="1"/>
  <c r="BL72" i="1"/>
  <c r="BL73" i="1"/>
  <c r="BL74" i="1"/>
  <c r="BL75" i="1"/>
  <c r="BL76" i="1"/>
  <c r="BL77" i="1"/>
  <c r="BL78" i="1"/>
  <c r="BL79" i="1"/>
  <c r="BL80" i="1"/>
  <c r="BL81" i="1"/>
  <c r="BL82" i="1"/>
  <c r="BL83" i="1"/>
  <c r="BL84" i="1"/>
  <c r="BL85" i="1"/>
  <c r="BL86" i="1"/>
  <c r="BL87" i="1"/>
  <c r="BL88" i="1"/>
  <c r="BL89" i="1"/>
  <c r="BL90" i="1"/>
  <c r="BL91" i="1"/>
  <c r="BL92" i="1"/>
  <c r="BL93" i="1"/>
  <c r="BL94" i="1"/>
  <c r="BL95" i="1"/>
  <c r="BL96" i="1"/>
  <c r="BL97" i="1"/>
  <c r="BL98" i="1"/>
  <c r="BL99" i="1"/>
  <c r="BL100" i="1"/>
  <c r="BL101" i="1"/>
  <c r="BL102" i="1"/>
  <c r="BL103" i="1"/>
  <c r="BL104" i="1"/>
  <c r="BL105" i="1"/>
  <c r="BL106" i="1"/>
  <c r="BL107" i="1"/>
  <c r="BL108" i="1"/>
  <c r="BL109" i="1"/>
  <c r="BL110" i="1"/>
  <c r="BL111" i="1"/>
  <c r="BL112" i="1"/>
  <c r="BL113" i="1"/>
  <c r="BL114" i="1"/>
  <c r="BL115" i="1"/>
  <c r="BL116" i="1"/>
  <c r="BL117" i="1"/>
  <c r="BL118" i="1"/>
  <c r="BL119" i="1"/>
  <c r="BL120" i="1"/>
  <c r="BL121" i="1"/>
  <c r="BL122" i="1"/>
  <c r="BL123" i="1"/>
  <c r="BL124" i="1"/>
  <c r="BL125" i="1"/>
  <c r="BL126" i="1"/>
  <c r="BL127" i="1"/>
  <c r="BL128" i="1"/>
  <c r="BL129" i="1"/>
  <c r="BL130" i="1"/>
  <c r="BL131" i="1"/>
  <c r="BL132" i="1"/>
  <c r="BL133" i="1"/>
  <c r="BL134" i="1"/>
  <c r="BL135" i="1"/>
  <c r="BL136" i="1"/>
  <c r="BL137" i="1"/>
  <c r="BL138" i="1"/>
  <c r="BL139" i="1"/>
  <c r="BL140" i="1"/>
  <c r="BL141" i="1"/>
  <c r="BL142" i="1"/>
  <c r="BL143" i="1"/>
  <c r="BL144" i="1"/>
  <c r="BL145" i="1"/>
  <c r="BL146" i="1"/>
  <c r="BL147" i="1"/>
  <c r="BL148" i="1"/>
  <c r="BL149" i="1"/>
  <c r="BL150" i="1"/>
  <c r="BL151" i="1"/>
  <c r="BL152" i="1"/>
  <c r="BL153" i="1"/>
  <c r="BL154" i="1"/>
  <c r="BL155" i="1"/>
  <c r="BL156" i="1"/>
  <c r="BL157" i="1"/>
  <c r="BL158" i="1"/>
  <c r="BL159" i="1"/>
  <c r="BL160" i="1"/>
  <c r="BL161" i="1"/>
  <c r="BL162" i="1"/>
  <c r="BL163" i="1"/>
  <c r="BL164" i="1"/>
  <c r="BL165" i="1"/>
  <c r="BL166" i="1"/>
  <c r="BL167" i="1"/>
  <c r="BL168" i="1"/>
  <c r="BL169" i="1"/>
  <c r="BL170" i="1"/>
  <c r="BL171" i="1"/>
  <c r="BL172" i="1"/>
  <c r="BL173" i="1"/>
  <c r="BL174" i="1"/>
  <c r="BL175" i="1"/>
  <c r="BL176" i="1"/>
  <c r="BL177" i="1"/>
  <c r="BL178" i="1"/>
  <c r="BL179" i="1"/>
  <c r="BL180" i="1"/>
  <c r="BL181" i="1"/>
  <c r="BL182" i="1"/>
  <c r="BL183" i="1"/>
  <c r="BL184" i="1"/>
  <c r="BL185" i="1"/>
  <c r="BL186" i="1"/>
  <c r="BL187" i="1"/>
  <c r="BL188" i="1"/>
  <c r="BL189" i="1"/>
  <c r="BL190" i="1"/>
  <c r="BL191" i="1"/>
  <c r="BL192" i="1"/>
  <c r="BL193" i="1"/>
  <c r="BL194" i="1"/>
  <c r="BL195" i="1"/>
  <c r="BL196" i="1"/>
  <c r="BL197" i="1"/>
  <c r="BL198" i="1"/>
  <c r="BL199" i="1"/>
  <c r="BL200" i="1"/>
  <c r="BL201" i="1"/>
  <c r="BL202" i="1"/>
  <c r="BL203" i="1"/>
  <c r="BL204" i="1"/>
  <c r="BL205" i="1"/>
  <c r="BL206" i="1"/>
  <c r="BL207" i="1"/>
  <c r="BL208" i="1"/>
  <c r="BL209" i="1"/>
  <c r="BL210" i="1"/>
  <c r="BL211" i="1"/>
  <c r="BL212" i="1"/>
  <c r="BL213" i="1"/>
  <c r="BL214" i="1"/>
  <c r="BL215" i="1"/>
  <c r="BL216" i="1"/>
  <c r="BL217" i="1"/>
  <c r="BL218" i="1"/>
  <c r="BL219" i="1"/>
  <c r="BL220" i="1"/>
  <c r="BL221" i="1"/>
  <c r="BL222" i="1"/>
  <c r="BL223" i="1"/>
  <c r="BL224" i="1"/>
  <c r="BL225" i="1"/>
  <c r="BL226" i="1"/>
  <c r="BL227" i="1"/>
  <c r="BL228" i="1"/>
  <c r="BL229" i="1"/>
  <c r="BL230" i="1"/>
  <c r="BL231" i="1"/>
  <c r="BL232" i="1"/>
  <c r="BL233" i="1"/>
  <c r="BL234" i="1"/>
  <c r="BL235" i="1"/>
  <c r="BL236" i="1"/>
  <c r="BL237" i="1"/>
  <c r="BL238" i="1"/>
  <c r="BL239" i="1"/>
  <c r="BL240" i="1"/>
  <c r="BL241" i="1"/>
  <c r="BL242" i="1"/>
  <c r="BL243" i="1"/>
  <c r="BL244" i="1"/>
  <c r="BL245" i="1"/>
  <c r="BL246" i="1"/>
  <c r="BL247" i="1"/>
  <c r="BL248" i="1"/>
  <c r="BL249" i="1"/>
  <c r="BL250" i="1"/>
  <c r="BL251" i="1"/>
  <c r="BL252" i="1"/>
  <c r="BL253" i="1"/>
  <c r="BL254" i="1"/>
  <c r="BL255" i="1"/>
  <c r="BL256" i="1"/>
  <c r="BL257" i="1"/>
  <c r="BL258" i="1"/>
  <c r="BL259" i="1"/>
  <c r="BL260" i="1"/>
  <c r="BL261" i="1"/>
  <c r="BL262" i="1"/>
  <c r="BL263" i="1"/>
  <c r="BL264" i="1"/>
  <c r="BL265" i="1"/>
  <c r="BL266" i="1"/>
  <c r="BL267" i="1"/>
  <c r="BL268" i="1"/>
  <c r="BL269" i="1"/>
  <c r="BL270" i="1"/>
  <c r="BL271" i="1"/>
  <c r="BL272" i="1"/>
  <c r="BL273" i="1"/>
  <c r="BL274" i="1"/>
  <c r="BL275" i="1"/>
  <c r="BL276" i="1"/>
  <c r="BL277" i="1"/>
  <c r="BL278" i="1"/>
  <c r="BL279" i="1"/>
  <c r="BL280" i="1"/>
  <c r="BL281" i="1"/>
  <c r="BL282" i="1"/>
  <c r="BL283" i="1"/>
  <c r="BL284" i="1"/>
  <c r="BL285" i="1"/>
  <c r="BL286" i="1"/>
  <c r="BL287" i="1"/>
  <c r="BL288" i="1"/>
  <c r="BL289" i="1"/>
  <c r="BL290" i="1"/>
  <c r="BL291" i="1"/>
  <c r="BL292" i="1"/>
  <c r="BL293" i="1"/>
  <c r="BL294" i="1"/>
  <c r="BL295" i="1"/>
  <c r="BL296" i="1"/>
  <c r="BL297" i="1"/>
  <c r="BL298" i="1"/>
  <c r="BL299" i="1"/>
  <c r="BL300" i="1"/>
  <c r="BL301" i="1"/>
  <c r="BL302" i="1"/>
  <c r="BL303" i="1"/>
  <c r="BL304" i="1"/>
  <c r="BL305" i="1"/>
  <c r="BL306" i="1"/>
  <c r="BL307" i="1"/>
  <c r="BL308" i="1"/>
  <c r="BL309" i="1"/>
  <c r="BL310" i="1"/>
  <c r="BL311" i="1"/>
  <c r="BL312" i="1"/>
  <c r="BL313" i="1"/>
  <c r="BL314" i="1"/>
  <c r="BL315" i="1"/>
  <c r="BL316" i="1"/>
  <c r="BL317" i="1"/>
  <c r="BL318" i="1"/>
  <c r="BL319" i="1"/>
  <c r="BL320" i="1"/>
  <c r="BL321" i="1"/>
  <c r="BL322" i="1"/>
  <c r="BL323" i="1"/>
  <c r="BL324" i="1"/>
  <c r="BL325" i="1"/>
  <c r="BL326" i="1"/>
  <c r="BL327" i="1"/>
  <c r="BL328" i="1"/>
  <c r="BL329" i="1"/>
  <c r="BL330" i="1"/>
  <c r="BL331" i="1"/>
  <c r="BL332" i="1"/>
  <c r="BL333" i="1"/>
  <c r="BL334" i="1"/>
  <c r="BL335" i="1"/>
  <c r="BL336" i="1"/>
  <c r="BL337" i="1"/>
  <c r="BL338" i="1"/>
  <c r="BL339" i="1"/>
  <c r="BL340" i="1"/>
  <c r="BL341" i="1"/>
  <c r="BL342" i="1"/>
  <c r="BL343" i="1"/>
  <c r="BL344" i="1"/>
  <c r="BL345" i="1"/>
  <c r="BL346" i="1"/>
  <c r="BL347" i="1"/>
  <c r="BL348" i="1"/>
  <c r="BL349" i="1"/>
  <c r="BL350" i="1"/>
  <c r="BL351" i="1"/>
  <c r="BL352" i="1"/>
  <c r="BL353" i="1"/>
  <c r="BL354" i="1"/>
  <c r="BL355" i="1"/>
  <c r="BL356" i="1"/>
  <c r="BL357" i="1"/>
  <c r="BL358" i="1"/>
  <c r="BL359" i="1"/>
  <c r="BL360" i="1"/>
  <c r="BL361" i="1"/>
  <c r="BL362" i="1"/>
  <c r="BL363" i="1"/>
  <c r="BL364" i="1"/>
  <c r="BL365" i="1"/>
  <c r="BL366" i="1"/>
  <c r="BL367" i="1"/>
  <c r="BL368" i="1"/>
  <c r="BL369" i="1"/>
  <c r="BL370" i="1"/>
  <c r="BL371" i="1"/>
  <c r="BL372" i="1"/>
  <c r="BL373" i="1"/>
  <c r="BL374" i="1"/>
  <c r="BL375" i="1"/>
  <c r="BL376" i="1"/>
  <c r="BL377" i="1"/>
  <c r="BL378" i="1"/>
  <c r="BL379" i="1"/>
  <c r="BL380" i="1"/>
  <c r="BL381" i="1"/>
  <c r="BL382" i="1"/>
  <c r="BL383" i="1"/>
  <c r="BL384" i="1"/>
  <c r="BL385" i="1"/>
  <c r="BL386" i="1"/>
  <c r="BL387" i="1"/>
  <c r="BL388" i="1"/>
  <c r="BL389" i="1"/>
  <c r="BL390" i="1"/>
  <c r="BL391" i="1"/>
  <c r="BL392" i="1"/>
  <c r="BL393" i="1"/>
  <c r="BL394" i="1"/>
  <c r="BL395" i="1"/>
  <c r="BL396" i="1"/>
  <c r="BL397" i="1"/>
  <c r="BL398" i="1"/>
  <c r="BL399" i="1"/>
  <c r="BL400" i="1"/>
  <c r="BL401" i="1"/>
  <c r="BL402" i="1"/>
  <c r="BL403" i="1"/>
  <c r="BL404" i="1"/>
  <c r="BL405" i="1"/>
  <c r="BL406" i="1"/>
  <c r="BL407" i="1"/>
  <c r="BL408" i="1"/>
  <c r="BL409" i="1"/>
  <c r="BL410" i="1"/>
  <c r="BL411" i="1"/>
  <c r="BL412" i="1"/>
  <c r="BL413" i="1"/>
  <c r="BL414" i="1"/>
  <c r="BL415" i="1"/>
  <c r="BL416" i="1"/>
  <c r="BL417" i="1"/>
  <c r="BL418" i="1"/>
  <c r="BL419" i="1"/>
  <c r="BL420" i="1"/>
  <c r="BL421" i="1"/>
  <c r="BL422" i="1"/>
  <c r="BL423" i="1"/>
  <c r="BL424" i="1"/>
  <c r="BL425" i="1"/>
  <c r="BL426" i="1"/>
  <c r="BL427" i="1"/>
  <c r="BL428" i="1"/>
  <c r="BL429" i="1"/>
  <c r="BL430" i="1"/>
  <c r="BL431" i="1"/>
  <c r="BL432" i="1"/>
  <c r="BL433" i="1"/>
  <c r="BL434" i="1"/>
  <c r="BL435" i="1"/>
  <c r="BL436" i="1"/>
  <c r="BL437" i="1"/>
  <c r="BL438" i="1"/>
  <c r="BL439" i="1"/>
  <c r="BL440" i="1"/>
  <c r="BL441" i="1"/>
  <c r="BL442" i="1"/>
  <c r="BL443" i="1"/>
  <c r="BL444" i="1"/>
  <c r="BL445" i="1"/>
  <c r="BL446" i="1"/>
  <c r="BL447" i="1"/>
  <c r="BL448" i="1"/>
  <c r="BL449" i="1"/>
  <c r="BL450" i="1"/>
  <c r="BL451" i="1"/>
  <c r="BL452" i="1"/>
  <c r="BL453" i="1"/>
  <c r="BL454" i="1"/>
  <c r="BL455" i="1"/>
  <c r="BL456" i="1"/>
  <c r="BL457" i="1"/>
  <c r="BL458" i="1"/>
  <c r="BL459" i="1"/>
  <c r="BL460" i="1"/>
  <c r="BL461" i="1"/>
  <c r="BL462" i="1"/>
  <c r="BL463" i="1"/>
  <c r="BL464" i="1"/>
  <c r="BL465" i="1"/>
  <c r="BL466" i="1"/>
  <c r="BL467" i="1"/>
  <c r="BL468" i="1"/>
  <c r="BL469" i="1"/>
  <c r="BL470" i="1"/>
  <c r="BL471" i="1"/>
  <c r="BL472" i="1"/>
  <c r="BL473" i="1"/>
  <c r="BL474" i="1"/>
  <c r="BL475" i="1"/>
  <c r="BL476" i="1"/>
  <c r="BL477" i="1"/>
  <c r="BL478" i="1"/>
  <c r="BL479" i="1"/>
  <c r="BL480" i="1"/>
  <c r="BL481" i="1"/>
  <c r="BL482" i="1"/>
  <c r="BL483" i="1"/>
  <c r="BL484" i="1"/>
  <c r="BL485" i="1"/>
  <c r="BL486" i="1"/>
  <c r="BL487" i="1"/>
  <c r="BL488" i="1"/>
  <c r="BL489" i="1"/>
  <c r="BL490" i="1"/>
  <c r="BL491" i="1"/>
  <c r="BL492" i="1"/>
  <c r="BL493" i="1"/>
  <c r="BL494" i="1"/>
  <c r="BL495" i="1"/>
  <c r="BL496" i="1"/>
  <c r="BL497" i="1"/>
  <c r="BL498" i="1"/>
  <c r="BL499" i="1"/>
  <c r="BL500" i="1"/>
  <c r="BL501" i="1"/>
  <c r="BL502" i="1"/>
  <c r="BL503" i="1"/>
  <c r="BL504" i="1"/>
  <c r="BL505" i="1"/>
  <c r="BL506" i="1"/>
  <c r="BL507" i="1"/>
  <c r="BL508" i="1"/>
  <c r="BL509" i="1"/>
  <c r="BL510" i="1"/>
  <c r="BL511" i="1"/>
  <c r="BL512" i="1"/>
  <c r="BL513" i="1"/>
  <c r="BL514" i="1"/>
  <c r="BL515" i="1"/>
  <c r="BL516" i="1"/>
  <c r="BL517" i="1"/>
  <c r="BL518" i="1"/>
  <c r="BL519" i="1"/>
  <c r="BL520" i="1"/>
  <c r="BL521" i="1"/>
  <c r="BL522" i="1"/>
  <c r="BL523" i="1"/>
  <c r="BL524" i="1"/>
  <c r="BL525" i="1"/>
  <c r="BL526" i="1"/>
  <c r="BL527" i="1"/>
  <c r="BL528" i="1"/>
  <c r="BL529" i="1"/>
  <c r="BL530" i="1"/>
  <c r="BL531" i="1"/>
  <c r="BL532" i="1"/>
  <c r="BL533" i="1"/>
  <c r="BL534" i="1"/>
  <c r="BL535" i="1"/>
  <c r="BL536" i="1"/>
  <c r="BL537" i="1"/>
  <c r="BL538" i="1"/>
  <c r="BL539" i="1"/>
  <c r="BL540" i="1"/>
  <c r="BL541" i="1"/>
  <c r="BL542" i="1"/>
  <c r="BL543" i="1"/>
  <c r="BL544" i="1"/>
  <c r="BL545" i="1"/>
  <c r="BL546" i="1"/>
  <c r="BL547" i="1"/>
  <c r="BL548" i="1"/>
  <c r="BL549" i="1"/>
  <c r="BL550" i="1"/>
  <c r="BL551" i="1"/>
  <c r="BL552" i="1"/>
  <c r="BL553" i="1"/>
  <c r="BL554" i="1"/>
  <c r="BL555" i="1"/>
  <c r="BL556" i="1"/>
  <c r="BL557" i="1"/>
  <c r="BL558" i="1"/>
  <c r="BL559" i="1"/>
  <c r="BL560" i="1"/>
  <c r="BL561" i="1"/>
  <c r="BL562" i="1"/>
  <c r="BL563" i="1"/>
  <c r="BL564" i="1"/>
  <c r="BL565" i="1"/>
  <c r="BL566" i="1"/>
  <c r="BL567" i="1"/>
  <c r="BL568" i="1"/>
  <c r="BL569" i="1"/>
  <c r="BL570" i="1"/>
  <c r="BL571" i="1"/>
  <c r="BL572" i="1"/>
  <c r="BL573" i="1"/>
  <c r="BL574" i="1"/>
  <c r="BL575" i="1"/>
  <c r="BL576" i="1"/>
  <c r="BL577" i="1"/>
  <c r="BL578" i="1"/>
  <c r="BL579" i="1"/>
  <c r="BL580" i="1"/>
  <c r="BL581" i="1"/>
  <c r="BL582" i="1"/>
  <c r="BL583" i="1"/>
  <c r="BL584" i="1"/>
  <c r="BL585" i="1"/>
  <c r="BL586" i="1"/>
  <c r="BL587" i="1"/>
  <c r="BL588" i="1"/>
  <c r="BL589" i="1"/>
  <c r="BL590" i="1"/>
  <c r="BL591" i="1"/>
  <c r="BL592" i="1"/>
  <c r="BL593" i="1"/>
  <c r="BL594" i="1"/>
  <c r="BL595" i="1"/>
  <c r="BL596" i="1"/>
  <c r="BL597" i="1"/>
  <c r="BL598" i="1"/>
  <c r="BL599" i="1"/>
  <c r="BL600" i="1"/>
  <c r="BL601" i="1"/>
  <c r="BL602" i="1"/>
  <c r="BL603" i="1"/>
  <c r="BL604" i="1"/>
  <c r="BL605" i="1"/>
  <c r="BL606" i="1"/>
  <c r="BL607" i="1"/>
  <c r="BL608" i="1"/>
  <c r="BL609" i="1"/>
  <c r="BL610" i="1"/>
  <c r="BL611" i="1"/>
  <c r="BL612" i="1"/>
  <c r="BL613" i="1"/>
  <c r="BL614" i="1"/>
  <c r="BL615" i="1"/>
  <c r="BL616" i="1"/>
  <c r="BL617" i="1"/>
  <c r="BL618" i="1"/>
  <c r="BL619" i="1"/>
  <c r="BL620" i="1"/>
  <c r="BL621" i="1"/>
  <c r="BL622" i="1"/>
  <c r="BL623" i="1"/>
  <c r="BL624" i="1"/>
  <c r="BL625" i="1"/>
  <c r="BL626" i="1"/>
  <c r="BL627" i="1"/>
  <c r="BL628" i="1"/>
  <c r="BL629" i="1"/>
  <c r="BL630" i="1"/>
  <c r="BL631" i="1"/>
  <c r="BL632" i="1"/>
  <c r="BL633" i="1"/>
  <c r="BL634" i="1"/>
  <c r="BL635" i="1"/>
  <c r="BL636" i="1"/>
  <c r="BL637" i="1"/>
  <c r="BL638" i="1"/>
  <c r="BL639" i="1"/>
  <c r="BL640" i="1"/>
  <c r="BL641" i="1"/>
  <c r="BL642" i="1"/>
  <c r="BL643" i="1"/>
  <c r="BL644" i="1"/>
  <c r="BL645" i="1"/>
  <c r="BL646" i="1"/>
  <c r="BL647" i="1"/>
  <c r="BL648" i="1"/>
  <c r="BL649" i="1"/>
  <c r="BL650" i="1"/>
  <c r="BL651" i="1"/>
  <c r="BL652" i="1"/>
  <c r="BL653" i="1"/>
  <c r="BL654" i="1"/>
  <c r="BL655" i="1"/>
  <c r="BL656" i="1"/>
  <c r="BL657" i="1"/>
  <c r="BL658" i="1"/>
  <c r="BL659" i="1"/>
  <c r="BL660" i="1"/>
  <c r="BL661" i="1"/>
  <c r="BL662" i="1"/>
  <c r="BL663" i="1"/>
  <c r="BL664" i="1"/>
  <c r="BL665" i="1"/>
  <c r="BL666" i="1"/>
  <c r="BL667" i="1"/>
  <c r="BL668" i="1"/>
  <c r="BL669" i="1"/>
  <c r="BL670" i="1"/>
  <c r="BL671" i="1"/>
  <c r="BL672" i="1"/>
  <c r="BL673" i="1"/>
  <c r="BL674" i="1"/>
  <c r="BL675" i="1"/>
  <c r="BL676" i="1"/>
  <c r="BL677" i="1"/>
  <c r="BL678" i="1"/>
  <c r="BL679" i="1"/>
  <c r="BL680" i="1"/>
  <c r="BL681" i="1"/>
  <c r="BL682" i="1"/>
  <c r="BL683" i="1"/>
  <c r="BL684" i="1"/>
  <c r="BL685" i="1"/>
  <c r="BL686" i="1"/>
  <c r="BL687" i="1"/>
  <c r="BL688" i="1"/>
  <c r="BL689" i="1"/>
  <c r="BL690" i="1"/>
  <c r="BL691" i="1"/>
  <c r="BL692" i="1"/>
  <c r="BL693" i="1"/>
  <c r="BL694" i="1"/>
  <c r="BL695" i="1"/>
  <c r="BL696" i="1"/>
  <c r="BL697" i="1"/>
  <c r="BL698" i="1"/>
  <c r="BL699" i="1"/>
  <c r="BL700" i="1"/>
  <c r="BL701" i="1"/>
  <c r="BL702" i="1"/>
  <c r="BL703" i="1"/>
  <c r="BL704" i="1"/>
  <c r="BL705" i="1"/>
  <c r="BL706" i="1"/>
  <c r="BL707" i="1"/>
  <c r="BL708" i="1"/>
  <c r="BL709" i="1"/>
  <c r="BL710" i="1"/>
  <c r="BL711" i="1"/>
  <c r="BL712" i="1"/>
  <c r="BL713" i="1"/>
  <c r="BL714" i="1"/>
  <c r="BL715" i="1"/>
  <c r="BL716" i="1"/>
  <c r="BL717" i="1"/>
  <c r="BL718" i="1"/>
  <c r="BL719" i="1"/>
  <c r="BL720" i="1"/>
  <c r="BL721" i="1"/>
  <c r="BL722" i="1"/>
  <c r="BL723" i="1"/>
  <c r="BL724" i="1"/>
  <c r="BL725" i="1"/>
  <c r="BL726" i="1"/>
  <c r="BL727" i="1"/>
  <c r="BL728" i="1"/>
  <c r="BL729" i="1"/>
  <c r="BL730" i="1"/>
  <c r="BL731" i="1"/>
  <c r="BL732" i="1"/>
  <c r="BL733" i="1"/>
  <c r="BL734" i="1"/>
  <c r="BL735" i="1"/>
  <c r="BL736" i="1"/>
  <c r="BL737" i="1"/>
  <c r="BL738" i="1"/>
  <c r="BL739" i="1"/>
  <c r="BL740" i="1"/>
  <c r="BL741" i="1"/>
  <c r="BL742" i="1"/>
  <c r="BL743" i="1"/>
  <c r="BL744" i="1"/>
  <c r="BL745" i="1"/>
  <c r="BL746" i="1"/>
  <c r="BL747" i="1"/>
  <c r="BL748" i="1"/>
  <c r="BL749" i="1"/>
  <c r="BL750" i="1"/>
  <c r="BL751" i="1"/>
  <c r="BL752" i="1"/>
  <c r="BL753" i="1"/>
  <c r="BL754" i="1"/>
  <c r="BL755" i="1"/>
  <c r="BL756" i="1"/>
  <c r="BL757" i="1"/>
  <c r="BL758" i="1"/>
  <c r="BL759" i="1"/>
  <c r="BL760" i="1"/>
  <c r="BL761" i="1"/>
  <c r="BL762" i="1"/>
  <c r="BL763" i="1"/>
  <c r="BL764" i="1"/>
  <c r="BL765" i="1"/>
  <c r="BL766" i="1"/>
  <c r="BL767" i="1"/>
  <c r="BL768" i="1"/>
  <c r="BL769" i="1"/>
  <c r="BL770" i="1"/>
  <c r="BL771" i="1"/>
  <c r="BL772" i="1"/>
  <c r="BL773" i="1"/>
  <c r="BL774" i="1"/>
  <c r="BL775" i="1"/>
  <c r="BL776" i="1"/>
  <c r="BL777" i="1"/>
  <c r="BL778" i="1"/>
  <c r="BL779" i="1"/>
  <c r="BL780" i="1"/>
  <c r="BL781" i="1"/>
  <c r="BL782" i="1"/>
  <c r="BL783" i="1"/>
  <c r="BL784" i="1"/>
  <c r="BL785" i="1"/>
  <c r="BL786" i="1"/>
  <c r="BL787" i="1"/>
  <c r="BL788" i="1"/>
  <c r="BL789" i="1"/>
  <c r="BL790" i="1"/>
  <c r="BL791" i="1"/>
  <c r="BL792" i="1"/>
  <c r="BL793" i="1"/>
  <c r="BL794" i="1"/>
  <c r="BL795" i="1"/>
  <c r="BL796" i="1"/>
  <c r="BL797" i="1"/>
  <c r="BL798" i="1"/>
  <c r="BL799" i="1"/>
  <c r="BL800" i="1"/>
  <c r="BL801" i="1"/>
  <c r="BL802" i="1"/>
  <c r="BL803" i="1"/>
  <c r="BL804" i="1"/>
  <c r="BL805" i="1"/>
  <c r="BL806" i="1"/>
  <c r="BL807" i="1"/>
  <c r="BL808" i="1"/>
  <c r="BL809" i="1"/>
  <c r="BL810" i="1"/>
  <c r="BL811" i="1"/>
  <c r="BL812" i="1"/>
  <c r="BL813" i="1"/>
  <c r="BL814" i="1"/>
  <c r="BL815" i="1"/>
  <c r="BL816" i="1"/>
  <c r="BL817" i="1"/>
  <c r="BL818" i="1"/>
  <c r="BL819" i="1"/>
  <c r="BL820" i="1"/>
  <c r="BL821" i="1"/>
  <c r="BL822" i="1"/>
  <c r="BL823" i="1"/>
  <c r="BL824" i="1"/>
  <c r="BL825" i="1"/>
  <c r="BL826" i="1"/>
  <c r="BL827" i="1"/>
  <c r="BL828" i="1"/>
  <c r="BL829" i="1"/>
  <c r="BL830" i="1"/>
  <c r="BL831" i="1"/>
  <c r="BL832" i="1"/>
  <c r="BL833" i="1"/>
  <c r="BL834" i="1"/>
  <c r="BL835" i="1"/>
  <c r="BL836" i="1"/>
  <c r="BL837" i="1"/>
  <c r="BL838" i="1"/>
  <c r="BL839" i="1"/>
  <c r="BL840" i="1"/>
  <c r="BL841" i="1"/>
  <c r="BL842" i="1"/>
  <c r="BL843" i="1"/>
  <c r="BL844" i="1"/>
  <c r="BL845" i="1"/>
  <c r="BL846" i="1"/>
  <c r="BL847" i="1"/>
  <c r="BL848" i="1"/>
  <c r="BL849" i="1"/>
  <c r="BL850" i="1"/>
  <c r="BL851" i="1"/>
  <c r="BL852" i="1"/>
  <c r="BL853" i="1"/>
  <c r="BL854" i="1"/>
  <c r="BL855" i="1"/>
  <c r="BL856" i="1"/>
  <c r="BL857" i="1"/>
  <c r="BL858" i="1"/>
  <c r="BL859" i="1"/>
  <c r="BL860" i="1"/>
  <c r="BL861" i="1"/>
  <c r="BL862" i="1"/>
  <c r="BL863" i="1"/>
  <c r="BL864" i="1"/>
  <c r="BL865" i="1"/>
  <c r="BL866" i="1"/>
  <c r="BL867" i="1"/>
  <c r="BL868" i="1"/>
  <c r="BL869" i="1"/>
  <c r="BL870" i="1"/>
  <c r="BL871" i="1"/>
  <c r="BL872" i="1"/>
  <c r="BL873" i="1"/>
  <c r="BL874" i="1"/>
  <c r="BL875" i="1"/>
  <c r="BL876" i="1"/>
  <c r="BL877" i="1"/>
  <c r="BL878" i="1"/>
  <c r="BL879" i="1"/>
  <c r="BL880" i="1"/>
  <c r="BL881" i="1"/>
  <c r="BL882" i="1"/>
  <c r="BL883" i="1"/>
  <c r="BL884" i="1"/>
  <c r="BL885" i="1"/>
  <c r="BL886" i="1"/>
  <c r="BL887" i="1"/>
  <c r="BL888" i="1"/>
  <c r="BL889" i="1"/>
  <c r="BL890" i="1"/>
  <c r="BL891" i="1"/>
  <c r="BL892" i="1"/>
  <c r="BL893" i="1"/>
  <c r="BL894" i="1"/>
  <c r="BL895" i="1"/>
  <c r="BL896" i="1"/>
  <c r="BL897" i="1"/>
  <c r="BL898" i="1"/>
  <c r="BL899" i="1"/>
  <c r="BL900" i="1"/>
  <c r="BL901" i="1"/>
  <c r="BL902" i="1"/>
  <c r="BL903" i="1"/>
  <c r="BL904" i="1"/>
  <c r="BL905" i="1"/>
  <c r="BL906" i="1"/>
  <c r="BL907" i="1"/>
  <c r="BL908" i="1"/>
  <c r="BL909" i="1"/>
  <c r="BL910" i="1"/>
  <c r="BL911" i="1"/>
  <c r="BL912" i="1"/>
  <c r="BL913" i="1"/>
  <c r="BL914" i="1"/>
  <c r="BL915" i="1"/>
  <c r="BL916" i="1"/>
  <c r="BL917" i="1"/>
  <c r="BL918" i="1"/>
  <c r="BL919" i="1"/>
  <c r="BL920" i="1"/>
  <c r="BL921" i="1"/>
  <c r="BL922" i="1"/>
  <c r="BL923" i="1"/>
  <c r="BL924" i="1"/>
  <c r="BL925" i="1"/>
  <c r="BL926" i="1"/>
  <c r="BL927" i="1"/>
  <c r="BL928" i="1"/>
  <c r="BL929" i="1"/>
  <c r="BL930" i="1"/>
  <c r="BL931" i="1"/>
  <c r="BL932" i="1"/>
  <c r="BL933" i="1"/>
  <c r="BL934" i="1"/>
  <c r="BL935" i="1"/>
  <c r="BL936" i="1"/>
  <c r="BL937" i="1"/>
  <c r="BL938" i="1"/>
  <c r="BL939" i="1"/>
  <c r="BL940" i="1"/>
  <c r="BL941" i="1"/>
  <c r="BL942" i="1"/>
  <c r="BL943" i="1"/>
  <c r="BL944" i="1"/>
  <c r="BL945" i="1"/>
  <c r="BL946" i="1"/>
  <c r="BL947" i="1"/>
  <c r="BL948" i="1"/>
  <c r="BL949" i="1"/>
  <c r="BL950" i="1"/>
  <c r="BL951" i="1"/>
  <c r="BL952" i="1"/>
  <c r="BL953" i="1"/>
  <c r="BL954" i="1"/>
  <c r="BL955" i="1"/>
  <c r="BL956" i="1"/>
  <c r="BL957" i="1"/>
  <c r="BL958" i="1"/>
  <c r="BL959" i="1"/>
  <c r="BL960" i="1"/>
  <c r="BL961" i="1"/>
  <c r="BL962" i="1"/>
  <c r="BL963" i="1"/>
  <c r="BL964" i="1"/>
  <c r="BL965" i="1"/>
  <c r="BL966" i="1"/>
  <c r="BL967" i="1"/>
  <c r="BL968" i="1"/>
  <c r="BL969" i="1"/>
  <c r="BL970" i="1"/>
  <c r="BL971" i="1"/>
  <c r="BL972" i="1"/>
  <c r="BL973" i="1"/>
  <c r="BL974" i="1"/>
  <c r="BL975" i="1"/>
  <c r="BL976" i="1"/>
  <c r="BL977" i="1"/>
  <c r="BL978" i="1"/>
  <c r="BL979" i="1"/>
  <c r="BL980" i="1"/>
  <c r="BL981" i="1"/>
  <c r="BL982" i="1"/>
  <c r="BL983" i="1"/>
  <c r="BL984" i="1"/>
  <c r="BL985" i="1"/>
  <c r="BL986" i="1"/>
  <c r="BL987" i="1"/>
  <c r="BL988" i="1"/>
  <c r="BL989" i="1"/>
  <c r="BL990" i="1"/>
  <c r="BL991" i="1"/>
  <c r="BL992" i="1"/>
  <c r="BL993" i="1"/>
  <c r="BL994" i="1"/>
  <c r="BL995" i="1"/>
  <c r="BL996" i="1"/>
  <c r="BL997" i="1"/>
  <c r="BL998" i="1"/>
  <c r="BL999" i="1"/>
  <c r="BL1000" i="1"/>
  <c r="BL1001" i="1"/>
  <c r="BL1002" i="1"/>
  <c r="BL1003" i="1"/>
  <c r="BL1004" i="1"/>
  <c r="BL1005" i="1"/>
  <c r="BL1006" i="1"/>
  <c r="BL1007" i="1"/>
  <c r="BL1008" i="1"/>
  <c r="BL1009" i="1"/>
  <c r="BL1010" i="1"/>
  <c r="BL1011" i="1"/>
  <c r="BL1012" i="1"/>
  <c r="BL1013" i="1"/>
  <c r="BL1014" i="1"/>
  <c r="BL1015" i="1"/>
  <c r="BL1016" i="1"/>
  <c r="BL1017" i="1"/>
  <c r="BL1018" i="1"/>
  <c r="BL1019" i="1"/>
  <c r="BL1020" i="1"/>
  <c r="BL1021" i="1"/>
  <c r="BL1022" i="1"/>
  <c r="BL1023" i="1"/>
  <c r="BL1024" i="1"/>
  <c r="BL1025" i="1"/>
  <c r="BL1026" i="1"/>
  <c r="BL1027" i="1"/>
  <c r="BL1028" i="1"/>
  <c r="BL1029" i="1"/>
  <c r="BL1030" i="1"/>
  <c r="BL1031" i="1"/>
  <c r="BL1032" i="1"/>
  <c r="BL1033" i="1"/>
  <c r="BL1034" i="1"/>
  <c r="BL1035" i="1"/>
  <c r="BL1036" i="1"/>
  <c r="BL1037" i="1"/>
  <c r="BL1038" i="1"/>
  <c r="BL1039" i="1"/>
  <c r="BL1040" i="1"/>
  <c r="BL1041" i="1"/>
  <c r="BL1042" i="1"/>
  <c r="BL1043" i="1"/>
  <c r="BL1044" i="1"/>
  <c r="BL1045" i="1"/>
  <c r="BL1046" i="1"/>
  <c r="BL1047" i="1"/>
  <c r="BL1048" i="1"/>
  <c r="BL1049" i="1"/>
  <c r="BL1050" i="1"/>
  <c r="BL1051" i="1"/>
  <c r="BL1052" i="1"/>
  <c r="BL1053" i="1"/>
  <c r="BL1054" i="1"/>
  <c r="BL1055" i="1"/>
  <c r="BL1056" i="1"/>
  <c r="BL1057" i="1"/>
  <c r="BL1058" i="1"/>
  <c r="BL1059" i="1"/>
  <c r="BL1060" i="1"/>
  <c r="BL1061" i="1"/>
  <c r="BL1062" i="1"/>
  <c r="BL1063" i="1"/>
  <c r="BL1064" i="1"/>
  <c r="BL1065" i="1"/>
  <c r="BL1066" i="1"/>
  <c r="BL1067" i="1"/>
  <c r="BL1068" i="1"/>
  <c r="BL1069" i="1"/>
  <c r="BL1070" i="1"/>
  <c r="BL1071" i="1"/>
  <c r="BL1072" i="1"/>
  <c r="BL1073" i="1"/>
  <c r="BL1074" i="1"/>
  <c r="BL1075" i="1"/>
  <c r="BL1076" i="1"/>
  <c r="BL1077" i="1"/>
  <c r="BL1078" i="1"/>
  <c r="BL1079" i="1"/>
  <c r="BL1080" i="1"/>
  <c r="BL1081" i="1"/>
  <c r="BL1082" i="1"/>
  <c r="BL1083" i="1"/>
  <c r="BL1084" i="1"/>
  <c r="BL1085" i="1"/>
  <c r="BL1086" i="1"/>
  <c r="BL1087" i="1"/>
  <c r="BL1088" i="1"/>
  <c r="BL1089" i="1"/>
  <c r="BL1090" i="1"/>
  <c r="BL1091" i="1"/>
  <c r="BL1092" i="1"/>
  <c r="BL1093" i="1"/>
  <c r="BL1094" i="1"/>
  <c r="BL1095" i="1"/>
  <c r="BL1096" i="1"/>
  <c r="BL1097" i="1"/>
  <c r="BL1098" i="1"/>
  <c r="BL1099" i="1"/>
  <c r="BL1100" i="1"/>
  <c r="BL1101" i="1"/>
  <c r="BL1102" i="1"/>
  <c r="BL1103" i="1"/>
  <c r="BL1104" i="1"/>
  <c r="BL1105" i="1"/>
  <c r="BL1106" i="1"/>
  <c r="BL1107" i="1"/>
  <c r="BL1108" i="1"/>
  <c r="BL1109" i="1"/>
  <c r="BL1110" i="1"/>
  <c r="BL1111" i="1"/>
  <c r="BL1112" i="1"/>
  <c r="BL1113" i="1"/>
  <c r="BL1114" i="1"/>
  <c r="BL1115" i="1"/>
  <c r="BL1116" i="1"/>
  <c r="BL1117" i="1"/>
  <c r="BL1118" i="1"/>
  <c r="BL1119" i="1"/>
  <c r="BL1120" i="1"/>
  <c r="BL1121" i="1"/>
  <c r="BL1122" i="1"/>
  <c r="BL1123" i="1"/>
  <c r="BL1124" i="1"/>
  <c r="BL1125" i="1"/>
  <c r="BL1126" i="1"/>
  <c r="BL1127" i="1"/>
  <c r="BL1128" i="1"/>
  <c r="BL1129" i="1"/>
  <c r="BL1130" i="1"/>
  <c r="BL1131" i="1"/>
  <c r="BL1132" i="1"/>
  <c r="BL1133" i="1"/>
  <c r="BL1134" i="1"/>
  <c r="BL1135" i="1"/>
  <c r="BL1136" i="1"/>
  <c r="BL1137" i="1"/>
  <c r="BL1138" i="1"/>
  <c r="BL1139" i="1"/>
  <c r="BL1140" i="1"/>
  <c r="BL1141" i="1"/>
  <c r="BL1142" i="1"/>
  <c r="BL1143" i="1"/>
  <c r="BL1144" i="1"/>
  <c r="BL1145" i="1"/>
  <c r="BL1146" i="1"/>
  <c r="BL1147" i="1"/>
  <c r="BL1148" i="1"/>
  <c r="BL1149" i="1"/>
  <c r="BL1150" i="1"/>
  <c r="BL1151" i="1"/>
  <c r="BL1152" i="1"/>
  <c r="BL1153" i="1"/>
  <c r="BL1154" i="1"/>
  <c r="BL1155" i="1"/>
  <c r="BL1156" i="1"/>
  <c r="BL1157" i="1"/>
  <c r="BL1158" i="1"/>
  <c r="BL1159" i="1"/>
  <c r="BL1160" i="1"/>
  <c r="BL1161" i="1"/>
  <c r="BL1162" i="1"/>
  <c r="BL1163" i="1"/>
  <c r="BL1164" i="1"/>
  <c r="BL1165" i="1"/>
  <c r="BL1166" i="1"/>
  <c r="BL1167" i="1"/>
  <c r="BL1168" i="1"/>
  <c r="BL1169" i="1"/>
  <c r="BL1170" i="1"/>
  <c r="BL1171" i="1"/>
  <c r="BL1172" i="1"/>
  <c r="BL1173" i="1"/>
  <c r="BL1174" i="1"/>
  <c r="BL1175" i="1"/>
  <c r="BL1176" i="1"/>
  <c r="BL1177" i="1"/>
  <c r="BL1178" i="1"/>
  <c r="BL1179" i="1"/>
  <c r="BL1180" i="1"/>
  <c r="BL1181" i="1"/>
  <c r="BL1182" i="1"/>
  <c r="BL1183" i="1"/>
  <c r="BL1184" i="1"/>
  <c r="BL1185" i="1"/>
  <c r="BL1186" i="1"/>
  <c r="BL1187" i="1"/>
  <c r="BL1188" i="1"/>
  <c r="BL1189" i="1"/>
  <c r="BL1190" i="1"/>
  <c r="BL1191" i="1"/>
  <c r="BL1192" i="1"/>
  <c r="BL1193" i="1"/>
  <c r="BL1194" i="1"/>
  <c r="BL1195" i="1"/>
  <c r="BL1196" i="1"/>
  <c r="BL1197" i="1"/>
  <c r="BL1198" i="1"/>
  <c r="BL1199" i="1"/>
  <c r="BL1200" i="1"/>
  <c r="BL1201" i="1"/>
  <c r="BL1202" i="1"/>
  <c r="BL1203" i="1"/>
  <c r="BL1204" i="1"/>
  <c r="BL1205" i="1"/>
  <c r="BL1206" i="1"/>
  <c r="BL1207" i="1"/>
  <c r="BL1208" i="1"/>
  <c r="BL1209" i="1"/>
  <c r="BL1210" i="1"/>
  <c r="BL1211" i="1"/>
  <c r="BL1212" i="1"/>
  <c r="BL1213" i="1"/>
  <c r="BL1214" i="1"/>
  <c r="BL1215" i="1"/>
  <c r="BL1216" i="1"/>
  <c r="BL1217" i="1"/>
  <c r="BL1218" i="1"/>
  <c r="BL1219" i="1"/>
  <c r="BL1220" i="1"/>
  <c r="BL1221" i="1"/>
  <c r="BL1222" i="1"/>
  <c r="BL1223" i="1"/>
  <c r="BL1224" i="1"/>
  <c r="BL1225" i="1"/>
  <c r="BL1226" i="1"/>
  <c r="BL1227" i="1"/>
  <c r="BL1228" i="1"/>
  <c r="BL1229" i="1"/>
  <c r="BL1230" i="1"/>
  <c r="BL1231" i="1"/>
  <c r="BL1232" i="1"/>
  <c r="BL1233" i="1"/>
  <c r="BL1234" i="1"/>
  <c r="BL1235" i="1"/>
  <c r="BL1236" i="1"/>
  <c r="BL1237" i="1"/>
  <c r="BL1238" i="1"/>
  <c r="BL1239" i="1"/>
  <c r="BL1240" i="1"/>
  <c r="BL1241" i="1"/>
  <c r="BL1242" i="1"/>
  <c r="BL1243" i="1"/>
  <c r="BL1244" i="1"/>
  <c r="BL1245" i="1"/>
  <c r="BL1246" i="1"/>
  <c r="BL1247" i="1"/>
  <c r="BL1248" i="1"/>
  <c r="BL1249" i="1"/>
  <c r="BL1250" i="1"/>
  <c r="BL1251" i="1"/>
  <c r="BL1252" i="1"/>
  <c r="BL1253" i="1"/>
  <c r="BL1254" i="1"/>
  <c r="BL1255" i="1"/>
  <c r="BL1256" i="1"/>
  <c r="BL1257" i="1"/>
  <c r="BL1258" i="1"/>
  <c r="BL1259" i="1"/>
  <c r="BL1260" i="1"/>
  <c r="BL1261" i="1"/>
  <c r="BL1262" i="1"/>
  <c r="BL1263" i="1"/>
  <c r="BL1264" i="1"/>
  <c r="BL1265" i="1"/>
  <c r="BL1266" i="1"/>
  <c r="BL1267" i="1"/>
  <c r="BL1268" i="1"/>
  <c r="BL1269" i="1"/>
  <c r="BL1270" i="1"/>
  <c r="BL1271" i="1"/>
  <c r="BL1272" i="1"/>
  <c r="BL1273" i="1"/>
  <c r="BL1274" i="1"/>
  <c r="BL1275" i="1"/>
  <c r="BL1276" i="1"/>
  <c r="BL1277" i="1"/>
  <c r="BL1278" i="1"/>
  <c r="BL1279" i="1"/>
  <c r="BL1280" i="1"/>
  <c r="BL1281" i="1"/>
  <c r="BL1282" i="1"/>
  <c r="BL1283" i="1"/>
  <c r="BL1284" i="1"/>
  <c r="BL1285" i="1"/>
  <c r="BL1286" i="1"/>
  <c r="BL1287" i="1"/>
  <c r="BL1288" i="1"/>
  <c r="BL1289" i="1"/>
  <c r="BL1290" i="1"/>
  <c r="BL1291" i="1"/>
  <c r="BL1292" i="1"/>
  <c r="BL1293" i="1"/>
  <c r="BL1294" i="1"/>
  <c r="BL1295" i="1"/>
  <c r="BL1296" i="1"/>
  <c r="BL1297" i="1"/>
  <c r="BL1298" i="1"/>
  <c r="BL1299" i="1"/>
  <c r="BL1300" i="1"/>
  <c r="BL1301" i="1"/>
  <c r="BL1302" i="1"/>
  <c r="BL1303" i="1"/>
  <c r="BL1304" i="1"/>
  <c r="BL1305" i="1"/>
  <c r="BL1306" i="1"/>
  <c r="BL1307" i="1"/>
  <c r="BL1308" i="1"/>
  <c r="BL1309" i="1"/>
  <c r="BL1310" i="1"/>
  <c r="BL1311" i="1"/>
  <c r="BL1312" i="1"/>
  <c r="BL1313" i="1"/>
  <c r="BL1314" i="1"/>
  <c r="BL1315" i="1"/>
  <c r="BL1316" i="1"/>
  <c r="BL1317" i="1"/>
  <c r="BL1318" i="1"/>
  <c r="BL1319" i="1"/>
  <c r="BL1320" i="1"/>
  <c r="BL1321" i="1"/>
  <c r="BL1322" i="1"/>
  <c r="BL1323" i="1"/>
  <c r="BL1324" i="1"/>
  <c r="BL1325" i="1"/>
  <c r="BL1326" i="1"/>
  <c r="BL1327" i="1"/>
  <c r="BL1328" i="1"/>
  <c r="BL1329" i="1"/>
  <c r="BL1330" i="1"/>
  <c r="BL1331" i="1"/>
  <c r="BL1332" i="1"/>
  <c r="BL1333" i="1"/>
  <c r="BL1334" i="1"/>
  <c r="BL1335" i="1"/>
  <c r="BL1336" i="1"/>
  <c r="BL1337" i="1"/>
  <c r="BL1338" i="1"/>
  <c r="BL1339" i="1"/>
  <c r="BL1340" i="1"/>
  <c r="BL1341" i="1"/>
  <c r="BL1342" i="1"/>
  <c r="BL1343" i="1"/>
  <c r="BL1344" i="1"/>
  <c r="BL1345" i="1"/>
  <c r="BL1346" i="1"/>
  <c r="BL1347" i="1"/>
  <c r="BL1348" i="1"/>
  <c r="BL1349" i="1"/>
  <c r="BL1350" i="1"/>
  <c r="BL1351" i="1"/>
  <c r="BL1352" i="1"/>
  <c r="BL1353" i="1"/>
  <c r="BL1354" i="1"/>
  <c r="BL1355" i="1"/>
  <c r="BL1356" i="1"/>
  <c r="BL1357" i="1"/>
  <c r="BL1358" i="1"/>
  <c r="BL1359" i="1"/>
  <c r="BL1360" i="1"/>
  <c r="BL1361" i="1"/>
  <c r="BL1362" i="1"/>
  <c r="BL1363" i="1"/>
  <c r="BL1364" i="1"/>
  <c r="BL1365" i="1"/>
  <c r="BL1366" i="1"/>
  <c r="BL1367" i="1"/>
  <c r="BL1368" i="1"/>
  <c r="BL1369" i="1"/>
  <c r="BL1370" i="1"/>
  <c r="BL1371" i="1"/>
  <c r="BL1372" i="1"/>
  <c r="BL1373" i="1"/>
  <c r="BL1374" i="1"/>
  <c r="BL1375" i="1"/>
  <c r="BL1376" i="1"/>
  <c r="BL1377" i="1"/>
  <c r="BL1378" i="1"/>
  <c r="BL1379" i="1"/>
  <c r="BL1380" i="1"/>
  <c r="BL1381" i="1"/>
  <c r="BL1382" i="1"/>
  <c r="BL1383" i="1"/>
  <c r="BL1384" i="1"/>
  <c r="BL1385" i="1"/>
  <c r="BL1386" i="1"/>
  <c r="BL1387" i="1"/>
  <c r="BL1388" i="1"/>
  <c r="BL1389" i="1"/>
  <c r="BL1390" i="1"/>
  <c r="BL1391" i="1"/>
  <c r="BL1392" i="1"/>
  <c r="BL1393" i="1"/>
  <c r="BL1394" i="1"/>
  <c r="BL1395" i="1"/>
  <c r="BL1396" i="1"/>
  <c r="BL1397" i="1"/>
  <c r="BL1398" i="1"/>
  <c r="BL1399" i="1"/>
  <c r="BL1400" i="1"/>
  <c r="BL1401" i="1"/>
  <c r="BL1402" i="1"/>
  <c r="BL1403" i="1"/>
  <c r="BL1404" i="1"/>
  <c r="BL1405" i="1"/>
  <c r="BL1406" i="1"/>
  <c r="BL1407" i="1"/>
  <c r="BL1408" i="1"/>
  <c r="BL1409" i="1"/>
  <c r="BL1410" i="1"/>
  <c r="BL1411" i="1"/>
  <c r="BL1412" i="1"/>
  <c r="BL1413" i="1"/>
  <c r="BL1414" i="1"/>
  <c r="BL3" i="1" l="1"/>
  <c r="BK3" i="1" s="1"/>
  <c r="BK4" i="1" s="1"/>
  <c r="BL2" i="1"/>
  <c r="BM2" i="1" s="1"/>
  <c r="BL7" i="1"/>
  <c r="BM3" i="1" l="1"/>
  <c r="BN3" i="1"/>
  <c r="BN4" i="1"/>
  <c r="BK5" i="1"/>
  <c r="BM4" i="1"/>
  <c r="BN5" i="1" l="1"/>
  <c r="BK6" i="1"/>
  <c r="BM5" i="1"/>
  <c r="BN6" i="1" l="1"/>
  <c r="BK7" i="1"/>
  <c r="BM6" i="1"/>
  <c r="BN7" i="1" l="1"/>
  <c r="BK8" i="1"/>
  <c r="BM7" i="1"/>
  <c r="BN8" i="1" l="1"/>
  <c r="BK9" i="1"/>
  <c r="BM8" i="1"/>
  <c r="BN9" i="1" l="1"/>
  <c r="BK10" i="1"/>
  <c r="BM9" i="1"/>
  <c r="BN10" i="1" l="1"/>
  <c r="BK11" i="1"/>
  <c r="BM10" i="1"/>
  <c r="BN11" i="1" l="1"/>
  <c r="BK12" i="1"/>
  <c r="BM11" i="1"/>
  <c r="BN12" i="1" l="1"/>
  <c r="BK13" i="1"/>
  <c r="BM12" i="1"/>
  <c r="BN13" i="1" l="1"/>
  <c r="BK14" i="1"/>
  <c r="BM13" i="1"/>
  <c r="BN14" i="1" l="1"/>
  <c r="BK15" i="1"/>
  <c r="BM14" i="1"/>
  <c r="BN15" i="1" l="1"/>
  <c r="BK16" i="1"/>
  <c r="BM15" i="1"/>
  <c r="BN16" i="1" l="1"/>
  <c r="BK17" i="1"/>
  <c r="BM16" i="1"/>
  <c r="BN17" i="1" l="1"/>
  <c r="BK18" i="1"/>
  <c r="BM17" i="1"/>
  <c r="BN18" i="1" l="1"/>
  <c r="BK19" i="1"/>
  <c r="BM18" i="1"/>
  <c r="BK20" i="1" l="1"/>
  <c r="BN19" i="1"/>
  <c r="BM19" i="1"/>
  <c r="BN20" i="1" l="1"/>
  <c r="BK21" i="1"/>
  <c r="BM20" i="1"/>
  <c r="BN21" i="1" l="1"/>
  <c r="BK22" i="1"/>
  <c r="BM21" i="1"/>
  <c r="BN22" i="1" l="1"/>
  <c r="BK23" i="1"/>
  <c r="BM22" i="1"/>
  <c r="BN23" i="1" l="1"/>
  <c r="BK24" i="1"/>
  <c r="BM23" i="1"/>
  <c r="BK25" i="1" l="1"/>
  <c r="BN24" i="1"/>
  <c r="BM24" i="1"/>
  <c r="BK26" i="1" l="1"/>
  <c r="BN25" i="1"/>
  <c r="BM25" i="1"/>
  <c r="BN26" i="1" l="1"/>
  <c r="BK27" i="1"/>
  <c r="BM26" i="1"/>
  <c r="BN27" i="1" l="1"/>
  <c r="BK28" i="1"/>
  <c r="BM27" i="1"/>
  <c r="BN28" i="1" l="1"/>
  <c r="BK29" i="1"/>
  <c r="BM28" i="1"/>
  <c r="BK30" i="1" l="1"/>
  <c r="BN29" i="1"/>
  <c r="BM29" i="1"/>
  <c r="BN30" i="1" l="1"/>
  <c r="BK31" i="1"/>
  <c r="BM30" i="1"/>
  <c r="BK32" i="1" l="1"/>
  <c r="BN31" i="1"/>
  <c r="BM31" i="1"/>
  <c r="BN32" i="1" l="1"/>
  <c r="BK33" i="1"/>
  <c r="BM32" i="1"/>
  <c r="BN33" i="1" l="1"/>
  <c r="BK34" i="1"/>
  <c r="BM33" i="1"/>
  <c r="BN34" i="1" l="1"/>
  <c r="BK35" i="1"/>
  <c r="BM34" i="1"/>
  <c r="BN35" i="1" l="1"/>
  <c r="BK36" i="1"/>
  <c r="BM35" i="1"/>
  <c r="BN36" i="1" l="1"/>
  <c r="BK37" i="1"/>
  <c r="BM36" i="1"/>
  <c r="BN37" i="1" l="1"/>
  <c r="BK38" i="1"/>
  <c r="BM37" i="1"/>
  <c r="BN38" i="1" l="1"/>
  <c r="BK39" i="1"/>
  <c r="BM38" i="1"/>
  <c r="BK40" i="1" l="1"/>
  <c r="BN39" i="1"/>
  <c r="BM39" i="1"/>
  <c r="BN40" i="1" l="1"/>
  <c r="BK41" i="1"/>
  <c r="BM40" i="1"/>
  <c r="BN41" i="1" l="1"/>
  <c r="BK42" i="1"/>
  <c r="BM41" i="1"/>
  <c r="BK43" i="1" l="1"/>
  <c r="BN42" i="1"/>
  <c r="BM42" i="1"/>
  <c r="BN43" i="1" l="1"/>
  <c r="BK44" i="1"/>
  <c r="BM43" i="1"/>
  <c r="BK45" i="1" l="1"/>
  <c r="BN44" i="1"/>
  <c r="BM44" i="1"/>
  <c r="BN45" i="1" l="1"/>
  <c r="BK46" i="1"/>
  <c r="BM45" i="1"/>
  <c r="BN46" i="1" l="1"/>
  <c r="BK47" i="1"/>
  <c r="BM46" i="1"/>
  <c r="BN47" i="1" l="1"/>
  <c r="BK48" i="1"/>
  <c r="BM47" i="1"/>
  <c r="BN48" i="1" l="1"/>
  <c r="BK49" i="1"/>
  <c r="BM48" i="1"/>
  <c r="BK50" i="1" l="1"/>
  <c r="BN49" i="1"/>
  <c r="BM49" i="1"/>
  <c r="BK51" i="1" l="1"/>
  <c r="BN50" i="1"/>
  <c r="BM50" i="1"/>
  <c r="BK52" i="1" l="1"/>
  <c r="BN51" i="1"/>
  <c r="BM51" i="1"/>
  <c r="BK53" i="1" l="1"/>
  <c r="BN52" i="1"/>
  <c r="BM52" i="1"/>
  <c r="BN53" i="1" l="1"/>
  <c r="BK54" i="1"/>
  <c r="BM53" i="1"/>
  <c r="BN54" i="1" l="1"/>
  <c r="BK55" i="1"/>
  <c r="BM54" i="1"/>
  <c r="BN55" i="1" l="1"/>
  <c r="BK56" i="1"/>
  <c r="BM55" i="1"/>
  <c r="BK57" i="1" l="1"/>
  <c r="BN56" i="1"/>
  <c r="BM56" i="1"/>
  <c r="BN57" i="1" l="1"/>
  <c r="BK58" i="1"/>
  <c r="BM57" i="1"/>
  <c r="BK59" i="1" l="1"/>
  <c r="BN58" i="1"/>
  <c r="BM58" i="1"/>
  <c r="BN59" i="1" l="1"/>
  <c r="BK60" i="1"/>
  <c r="BM59" i="1"/>
  <c r="BN60" i="1" l="1"/>
  <c r="BK61" i="1"/>
  <c r="BM60" i="1"/>
  <c r="BN61" i="1" l="1"/>
  <c r="BK62" i="1"/>
  <c r="BM61" i="1"/>
  <c r="BN62" i="1" l="1"/>
  <c r="BK63" i="1"/>
  <c r="BM62" i="1"/>
  <c r="BN63" i="1" l="1"/>
  <c r="BK64" i="1"/>
  <c r="BM63" i="1"/>
  <c r="BK65" i="1" l="1"/>
  <c r="BN64" i="1"/>
  <c r="BM64" i="1"/>
  <c r="BN65" i="1" l="1"/>
  <c r="BK66" i="1"/>
  <c r="BM65" i="1"/>
  <c r="BN66" i="1" l="1"/>
  <c r="BK67" i="1"/>
  <c r="BM66" i="1"/>
  <c r="BN67" i="1" l="1"/>
  <c r="BK68" i="1"/>
  <c r="BM67" i="1"/>
  <c r="BN68" i="1" l="1"/>
  <c r="BK69" i="1"/>
  <c r="BM68" i="1"/>
  <c r="BN69" i="1" l="1"/>
  <c r="BK70" i="1"/>
  <c r="BM69" i="1"/>
  <c r="BN70" i="1" l="1"/>
  <c r="BK71" i="1"/>
  <c r="BM70" i="1"/>
  <c r="BN71" i="1" l="1"/>
  <c r="BK72" i="1"/>
  <c r="BM71" i="1"/>
  <c r="BK73" i="1" l="1"/>
  <c r="BN72" i="1"/>
  <c r="BM72" i="1"/>
  <c r="BN73" i="1" l="1"/>
  <c r="BK74" i="1"/>
  <c r="BM73" i="1"/>
  <c r="BN74" i="1" l="1"/>
  <c r="BK75" i="1"/>
  <c r="BM74" i="1"/>
  <c r="BN75" i="1" l="1"/>
  <c r="BK76" i="1"/>
  <c r="BM75" i="1"/>
  <c r="BN76" i="1" l="1"/>
  <c r="BK77" i="1"/>
  <c r="BM76" i="1"/>
  <c r="BN77" i="1" l="1"/>
  <c r="BK78" i="1"/>
  <c r="BM77" i="1"/>
  <c r="BN78" i="1" l="1"/>
  <c r="BK79" i="1"/>
  <c r="BM78" i="1"/>
  <c r="BK80" i="1" l="1"/>
  <c r="BN79" i="1"/>
  <c r="BM79" i="1"/>
  <c r="BN80" i="1" l="1"/>
  <c r="BK81" i="1"/>
  <c r="BM80" i="1"/>
  <c r="BN81" i="1" l="1"/>
  <c r="BK82" i="1"/>
  <c r="BM81" i="1"/>
  <c r="BK83" i="1" l="1"/>
  <c r="BN82" i="1"/>
  <c r="BM82" i="1"/>
  <c r="BN83" i="1" l="1"/>
  <c r="BK84" i="1"/>
  <c r="BM83" i="1"/>
  <c r="BN84" i="1" l="1"/>
  <c r="BK85" i="1"/>
  <c r="BM84" i="1"/>
  <c r="BN85" i="1" l="1"/>
  <c r="BK86" i="1"/>
  <c r="BM85" i="1"/>
  <c r="BN86" i="1" l="1"/>
  <c r="BK87" i="1"/>
  <c r="BM86" i="1"/>
  <c r="BN87" i="1" l="1"/>
  <c r="BK88" i="1"/>
  <c r="BM87" i="1"/>
  <c r="BK89" i="1" l="1"/>
  <c r="BN88" i="1"/>
  <c r="BM88" i="1"/>
  <c r="BN89" i="1" l="1"/>
  <c r="BK90" i="1"/>
  <c r="BM89" i="1"/>
  <c r="BN90" i="1" l="1"/>
  <c r="BK91" i="1"/>
  <c r="BM90" i="1"/>
  <c r="BN91" i="1" l="1"/>
  <c r="BK92" i="1"/>
  <c r="BM91" i="1"/>
  <c r="BN92" i="1" l="1"/>
  <c r="BK93" i="1"/>
  <c r="BM92" i="1"/>
  <c r="BN93" i="1" l="1"/>
  <c r="BK94" i="1"/>
  <c r="BM93" i="1"/>
  <c r="BN94" i="1" l="1"/>
  <c r="BK95" i="1"/>
  <c r="BM94" i="1"/>
  <c r="BN95" i="1" l="1"/>
  <c r="BK96" i="1"/>
  <c r="BM95" i="1"/>
  <c r="BK97" i="1" l="1"/>
  <c r="BN96" i="1"/>
  <c r="BM96" i="1"/>
  <c r="BN97" i="1" l="1"/>
  <c r="BK98" i="1"/>
  <c r="BM97" i="1"/>
  <c r="BN98" i="1" l="1"/>
  <c r="BK99" i="1"/>
  <c r="BM98" i="1"/>
  <c r="BN99" i="1" l="1"/>
  <c r="BK100" i="1"/>
  <c r="BM99" i="1"/>
  <c r="BN100" i="1" l="1"/>
  <c r="BK101" i="1"/>
  <c r="BM100" i="1"/>
  <c r="BN101" i="1" l="1"/>
  <c r="BK102" i="1"/>
  <c r="BM101" i="1"/>
  <c r="BN102" i="1" l="1"/>
  <c r="BK103" i="1"/>
  <c r="BM102" i="1"/>
  <c r="BK104" i="1" l="1"/>
  <c r="BN103" i="1"/>
  <c r="BM103" i="1"/>
  <c r="BN104" i="1" l="1"/>
  <c r="BK105" i="1"/>
  <c r="BM104" i="1"/>
  <c r="BN105" i="1" l="1"/>
  <c r="BK106" i="1"/>
  <c r="BM105" i="1"/>
  <c r="BN106" i="1" l="1"/>
  <c r="BK107" i="1"/>
  <c r="BM106" i="1"/>
  <c r="BK108" i="1" l="1"/>
  <c r="BN107" i="1"/>
  <c r="BM107" i="1"/>
  <c r="BN108" i="1" l="1"/>
  <c r="BK109" i="1"/>
  <c r="BM108" i="1"/>
  <c r="BK110" i="1" l="1"/>
  <c r="BN109" i="1"/>
  <c r="BM109" i="1"/>
  <c r="BN110" i="1" l="1"/>
  <c r="BK111" i="1"/>
  <c r="BM110" i="1"/>
  <c r="BN111" i="1" l="1"/>
  <c r="BK112" i="1"/>
  <c r="BM111" i="1"/>
  <c r="BN112" i="1" l="1"/>
  <c r="BK113" i="1"/>
  <c r="BM112" i="1"/>
  <c r="BN113" i="1" l="1"/>
  <c r="BK114" i="1"/>
  <c r="BM113" i="1"/>
  <c r="BK115" i="1" l="1"/>
  <c r="BN114" i="1"/>
  <c r="BM114" i="1"/>
  <c r="BN115" i="1" l="1"/>
  <c r="BK116" i="1"/>
  <c r="BM115" i="1"/>
  <c r="BN116" i="1" l="1"/>
  <c r="BK117" i="1"/>
  <c r="BM116" i="1"/>
  <c r="BN117" i="1" l="1"/>
  <c r="BK118" i="1"/>
  <c r="BM117" i="1"/>
  <c r="BN118" i="1" l="1"/>
  <c r="BK119" i="1"/>
  <c r="BM118" i="1"/>
  <c r="BN119" i="1" l="1"/>
  <c r="BK120" i="1"/>
  <c r="BM119" i="1"/>
  <c r="BN120" i="1" l="1"/>
  <c r="BK121" i="1"/>
  <c r="BM120" i="1"/>
  <c r="BN121" i="1" l="1"/>
  <c r="BK122" i="1"/>
  <c r="BM121" i="1"/>
  <c r="BK123" i="1" l="1"/>
  <c r="BN122" i="1"/>
  <c r="BM122" i="1"/>
  <c r="BK124" i="1" l="1"/>
  <c r="BN123" i="1"/>
  <c r="BM123" i="1"/>
  <c r="BK125" i="1" l="1"/>
  <c r="BN124" i="1"/>
  <c r="BM124" i="1"/>
  <c r="BN125" i="1" l="1"/>
  <c r="BK126" i="1"/>
  <c r="BM125" i="1"/>
  <c r="BK127" i="1" l="1"/>
  <c r="BN126" i="1"/>
  <c r="BM126" i="1"/>
  <c r="BN127" i="1" l="1"/>
  <c r="BK128" i="1"/>
  <c r="BM127" i="1"/>
  <c r="BN128" i="1" l="1"/>
  <c r="BK129" i="1"/>
  <c r="BM128" i="1"/>
  <c r="BN129" i="1" l="1"/>
  <c r="BK130" i="1"/>
  <c r="BM129" i="1"/>
  <c r="BK131" i="1" l="1"/>
  <c r="BN130" i="1"/>
  <c r="BM130" i="1"/>
  <c r="BN131" i="1" l="1"/>
  <c r="BK132" i="1"/>
  <c r="BM131" i="1"/>
  <c r="BK133" i="1" l="1"/>
  <c r="BN132" i="1"/>
  <c r="BM132" i="1"/>
  <c r="BN133" i="1" l="1"/>
  <c r="BK134" i="1"/>
  <c r="BM133" i="1"/>
  <c r="BN134" i="1" l="1"/>
  <c r="BK135" i="1"/>
  <c r="BM134" i="1"/>
  <c r="BN135" i="1" l="1"/>
  <c r="BK136" i="1"/>
  <c r="BM135" i="1"/>
  <c r="BN136" i="1" l="1"/>
  <c r="BK137" i="1"/>
  <c r="BM136" i="1"/>
  <c r="BN137" i="1" l="1"/>
  <c r="BK138" i="1"/>
  <c r="BM137" i="1"/>
  <c r="BN138" i="1" l="1"/>
  <c r="BK139" i="1"/>
  <c r="BM138" i="1"/>
  <c r="BN139" i="1" l="1"/>
  <c r="BK140" i="1"/>
  <c r="BM139" i="1"/>
  <c r="BN140" i="1" l="1"/>
  <c r="BK141" i="1"/>
  <c r="BM140" i="1"/>
  <c r="BK142" i="1" l="1"/>
  <c r="BN141" i="1"/>
  <c r="BM141" i="1"/>
  <c r="BN142" i="1" l="1"/>
  <c r="BK143" i="1"/>
  <c r="BM142" i="1"/>
  <c r="BN143" i="1" l="1"/>
  <c r="BK144" i="1"/>
  <c r="BM143" i="1"/>
  <c r="BN144" i="1" l="1"/>
  <c r="BK145" i="1"/>
  <c r="BM144" i="1"/>
  <c r="BK146" i="1" l="1"/>
  <c r="BN145" i="1"/>
  <c r="BM145" i="1"/>
  <c r="BN146" i="1" l="1"/>
  <c r="BK147" i="1"/>
  <c r="BM146" i="1"/>
  <c r="BN147" i="1" l="1"/>
  <c r="BK148" i="1"/>
  <c r="BM147" i="1"/>
  <c r="BN148" i="1" l="1"/>
  <c r="BK149" i="1"/>
  <c r="BM148" i="1"/>
  <c r="BN149" i="1" l="1"/>
  <c r="BK150" i="1"/>
  <c r="BM149" i="1"/>
  <c r="BN150" i="1" l="1"/>
  <c r="BK151" i="1"/>
  <c r="BM150" i="1"/>
  <c r="BK152" i="1" l="1"/>
  <c r="BN151" i="1"/>
  <c r="BM151" i="1"/>
  <c r="BN152" i="1" l="1"/>
  <c r="BK153" i="1"/>
  <c r="BM152" i="1"/>
  <c r="BN153" i="1" l="1"/>
  <c r="BK154" i="1"/>
  <c r="BM153" i="1"/>
  <c r="BN154" i="1" l="1"/>
  <c r="BK155" i="1"/>
  <c r="BM154" i="1"/>
  <c r="BN155" i="1" l="1"/>
  <c r="BK156" i="1"/>
  <c r="BM155" i="1"/>
  <c r="BN156" i="1" l="1"/>
  <c r="BK157" i="1"/>
  <c r="BM156" i="1"/>
  <c r="BK158" i="1" l="1"/>
  <c r="BN157" i="1"/>
  <c r="BM157" i="1"/>
  <c r="BN158" i="1" l="1"/>
  <c r="BK159" i="1"/>
  <c r="BM158" i="1"/>
  <c r="BN159" i="1" l="1"/>
  <c r="BK160" i="1"/>
  <c r="BM159" i="1"/>
  <c r="BN160" i="1" l="1"/>
  <c r="BK161" i="1"/>
  <c r="BM160" i="1"/>
  <c r="BN161" i="1" l="1"/>
  <c r="BK162" i="1"/>
  <c r="BM161" i="1"/>
  <c r="BN162" i="1" l="1"/>
  <c r="BK163" i="1"/>
  <c r="BM162" i="1"/>
  <c r="BN163" i="1" l="1"/>
  <c r="BK164" i="1"/>
  <c r="BM163" i="1"/>
  <c r="BN164" i="1" l="1"/>
  <c r="BK165" i="1"/>
  <c r="BM164" i="1"/>
  <c r="BN165" i="1" l="1"/>
  <c r="BK166" i="1"/>
  <c r="BM165" i="1"/>
  <c r="BN166" i="1" l="1"/>
  <c r="BK167" i="1"/>
  <c r="BM166" i="1"/>
  <c r="BN167" i="1" l="1"/>
  <c r="BK168" i="1"/>
  <c r="BM167" i="1"/>
  <c r="BN168" i="1" l="1"/>
  <c r="BK169" i="1"/>
  <c r="BM168" i="1"/>
  <c r="BK170" i="1" l="1"/>
  <c r="BN169" i="1"/>
  <c r="BM169" i="1"/>
  <c r="BN170" i="1" l="1"/>
  <c r="BK171" i="1"/>
  <c r="BM170" i="1"/>
  <c r="BK172" i="1" l="1"/>
  <c r="BN171" i="1"/>
  <c r="BM171" i="1"/>
  <c r="BN172" i="1" l="1"/>
  <c r="BK173" i="1"/>
  <c r="BM172" i="1"/>
  <c r="BK174" i="1" l="1"/>
  <c r="BN173" i="1"/>
  <c r="BM173" i="1"/>
  <c r="BN174" i="1" l="1"/>
  <c r="BK175" i="1"/>
  <c r="BM174" i="1"/>
  <c r="BN175" i="1" l="1"/>
  <c r="BK176" i="1"/>
  <c r="BM175" i="1"/>
  <c r="BN176" i="1" l="1"/>
  <c r="BK177" i="1"/>
  <c r="BM176" i="1"/>
  <c r="BN177" i="1" l="1"/>
  <c r="BK178" i="1"/>
  <c r="BM177" i="1"/>
  <c r="BN178" i="1" l="1"/>
  <c r="BK179" i="1"/>
  <c r="BM178" i="1"/>
  <c r="BN179" i="1" l="1"/>
  <c r="BK180" i="1"/>
  <c r="BM179" i="1"/>
  <c r="BN180" i="1" l="1"/>
  <c r="BK181" i="1"/>
  <c r="BM180" i="1"/>
  <c r="BK182" i="1" l="1"/>
  <c r="BN181" i="1"/>
  <c r="BM181" i="1"/>
  <c r="BN182" i="1" l="1"/>
  <c r="BK183" i="1"/>
  <c r="BM182" i="1"/>
  <c r="BN183" i="1" l="1"/>
  <c r="BK184" i="1"/>
  <c r="BM183" i="1"/>
  <c r="BK185" i="1" l="1"/>
  <c r="BN184" i="1"/>
  <c r="BM184" i="1"/>
  <c r="BN185" i="1" l="1"/>
  <c r="BK186" i="1"/>
  <c r="BM185" i="1"/>
  <c r="BN186" i="1" l="1"/>
  <c r="BK187" i="1"/>
  <c r="BM186" i="1"/>
  <c r="BN187" i="1" l="1"/>
  <c r="BK188" i="1"/>
  <c r="BM187" i="1"/>
  <c r="BN188" i="1" l="1"/>
  <c r="BK189" i="1"/>
  <c r="BM188" i="1"/>
  <c r="BK190" i="1" l="1"/>
  <c r="BN189" i="1"/>
  <c r="BM189" i="1"/>
  <c r="BK191" i="1" l="1"/>
  <c r="BN190" i="1"/>
  <c r="BM190" i="1"/>
  <c r="BN191" i="1" l="1"/>
  <c r="BK192" i="1"/>
  <c r="BM191" i="1"/>
  <c r="BK193" i="1" l="1"/>
  <c r="BN192" i="1"/>
  <c r="BM192" i="1"/>
  <c r="BN193" i="1" l="1"/>
  <c r="BK194" i="1"/>
  <c r="BM193" i="1"/>
  <c r="BN194" i="1" l="1"/>
  <c r="BK195" i="1"/>
  <c r="BM194" i="1"/>
  <c r="BN195" i="1" l="1"/>
  <c r="BK196" i="1"/>
  <c r="BM195" i="1"/>
  <c r="BN196" i="1" l="1"/>
  <c r="BK197" i="1"/>
  <c r="BM196" i="1"/>
  <c r="BK198" i="1" l="1"/>
  <c r="BN197" i="1"/>
  <c r="BM197" i="1"/>
  <c r="BN198" i="1" l="1"/>
  <c r="BK199" i="1"/>
  <c r="BM198" i="1"/>
  <c r="BN199" i="1" l="1"/>
  <c r="BK200" i="1"/>
  <c r="BM199" i="1"/>
  <c r="BK201" i="1" l="1"/>
  <c r="BN200" i="1"/>
  <c r="BM200" i="1"/>
  <c r="BN201" i="1" l="1"/>
  <c r="BK202" i="1"/>
  <c r="BM201" i="1"/>
  <c r="BN202" i="1" l="1"/>
  <c r="BK203" i="1"/>
  <c r="BM202" i="1"/>
  <c r="BN203" i="1" l="1"/>
  <c r="BK204" i="1"/>
  <c r="BM203" i="1"/>
  <c r="BK205" i="1" l="1"/>
  <c r="BN204" i="1"/>
  <c r="BM204" i="1"/>
  <c r="BK206" i="1" l="1"/>
  <c r="BN205" i="1"/>
  <c r="BM205" i="1"/>
  <c r="BN206" i="1" l="1"/>
  <c r="BK207" i="1"/>
  <c r="BM206" i="1"/>
  <c r="BK208" i="1" l="1"/>
  <c r="BN207" i="1"/>
  <c r="BM207" i="1"/>
  <c r="BK209" i="1" l="1"/>
  <c r="BN208" i="1"/>
  <c r="BM208" i="1"/>
  <c r="BN209" i="1" l="1"/>
  <c r="BK210" i="1"/>
  <c r="BM209" i="1"/>
  <c r="BN210" i="1" l="1"/>
  <c r="BK211" i="1"/>
  <c r="BM210" i="1"/>
  <c r="BN211" i="1" l="1"/>
  <c r="BK212" i="1"/>
  <c r="BM211" i="1"/>
  <c r="BN212" i="1" l="1"/>
  <c r="BK213" i="1"/>
  <c r="BM212" i="1"/>
  <c r="BN213" i="1" l="1"/>
  <c r="BK214" i="1"/>
  <c r="BM213" i="1"/>
  <c r="BN214" i="1" l="1"/>
  <c r="BK215" i="1"/>
  <c r="BM214" i="1"/>
  <c r="BN215" i="1" l="1"/>
  <c r="BK216" i="1"/>
  <c r="BM215" i="1"/>
  <c r="BN216" i="1" l="1"/>
  <c r="BK217" i="1"/>
  <c r="BM216" i="1"/>
  <c r="BN217" i="1" l="1"/>
  <c r="BK218" i="1"/>
  <c r="BM217" i="1"/>
  <c r="BN218" i="1" l="1"/>
  <c r="BK219" i="1"/>
  <c r="BM218" i="1"/>
  <c r="BK220" i="1" l="1"/>
  <c r="BN219" i="1"/>
  <c r="BM219" i="1"/>
  <c r="BN220" i="1" l="1"/>
  <c r="BK221" i="1"/>
  <c r="BM220" i="1"/>
  <c r="BN221" i="1" l="1"/>
  <c r="BK222" i="1"/>
  <c r="BM221" i="1"/>
  <c r="BN222" i="1" l="1"/>
  <c r="BK223" i="1"/>
  <c r="BM222" i="1"/>
  <c r="BN223" i="1" l="1"/>
  <c r="BK224" i="1"/>
  <c r="BM223" i="1"/>
  <c r="BK225" i="1" l="1"/>
  <c r="BN224" i="1"/>
  <c r="BM224" i="1"/>
  <c r="BK226" i="1" l="1"/>
  <c r="BN225" i="1"/>
  <c r="BM225" i="1"/>
  <c r="BN226" i="1" l="1"/>
  <c r="BK227" i="1"/>
  <c r="BM226" i="1"/>
  <c r="BK228" i="1" l="1"/>
  <c r="BN227" i="1"/>
  <c r="BM227" i="1"/>
  <c r="BN228" i="1" l="1"/>
  <c r="BK229" i="1"/>
  <c r="BM228" i="1"/>
  <c r="BN229" i="1" l="1"/>
  <c r="BK230" i="1"/>
  <c r="BM229" i="1"/>
  <c r="BK231" i="1" l="1"/>
  <c r="BN230" i="1"/>
  <c r="BM230" i="1"/>
  <c r="BN231" i="1" l="1"/>
  <c r="BK232" i="1"/>
  <c r="BM231" i="1"/>
  <c r="BK233" i="1" l="1"/>
  <c r="BN232" i="1"/>
  <c r="BM232" i="1"/>
  <c r="BN233" i="1" l="1"/>
  <c r="BK234" i="1"/>
  <c r="BM233" i="1"/>
  <c r="BN234" i="1" l="1"/>
  <c r="BK235" i="1"/>
  <c r="BM234" i="1"/>
  <c r="BK236" i="1" l="1"/>
  <c r="BN235" i="1"/>
  <c r="BM235" i="1"/>
  <c r="BN236" i="1" l="1"/>
  <c r="BK237" i="1"/>
  <c r="BM236" i="1"/>
  <c r="BN237" i="1" l="1"/>
  <c r="BK238" i="1"/>
  <c r="BM237" i="1"/>
  <c r="BN238" i="1" l="1"/>
  <c r="BK239" i="1"/>
  <c r="BM238" i="1"/>
  <c r="BK240" i="1" l="1"/>
  <c r="BN239" i="1"/>
  <c r="BM239" i="1"/>
  <c r="BK241" i="1" l="1"/>
  <c r="BN240" i="1"/>
  <c r="BM240" i="1"/>
  <c r="BN241" i="1" l="1"/>
  <c r="BK242" i="1"/>
  <c r="BM241" i="1"/>
  <c r="BK243" i="1" l="1"/>
  <c r="BN242" i="1"/>
  <c r="BM242" i="1"/>
  <c r="BK244" i="1" l="1"/>
  <c r="BN243" i="1"/>
  <c r="BM243" i="1"/>
  <c r="BN244" i="1" l="1"/>
  <c r="BK245" i="1"/>
  <c r="BM244" i="1"/>
  <c r="BN245" i="1" l="1"/>
  <c r="BK246" i="1"/>
  <c r="BM245" i="1"/>
  <c r="BN246" i="1" l="1"/>
  <c r="BK247" i="1"/>
  <c r="BM246" i="1"/>
  <c r="BN247" i="1" l="1"/>
  <c r="BK248" i="1"/>
  <c r="BM247" i="1"/>
  <c r="BK249" i="1" l="1"/>
  <c r="BN248" i="1"/>
  <c r="BM248" i="1"/>
  <c r="BN249" i="1" l="1"/>
  <c r="BK250" i="1"/>
  <c r="BM249" i="1"/>
  <c r="BN250" i="1" l="1"/>
  <c r="BK251" i="1"/>
  <c r="BM250" i="1"/>
  <c r="BK252" i="1" l="1"/>
  <c r="BN251" i="1"/>
  <c r="BM251" i="1"/>
  <c r="BN252" i="1" l="1"/>
  <c r="BK253" i="1"/>
  <c r="BM252" i="1"/>
  <c r="BN253" i="1" l="1"/>
  <c r="BK254" i="1"/>
  <c r="BM253" i="1"/>
  <c r="BN254" i="1" l="1"/>
  <c r="BK255" i="1"/>
  <c r="BM254" i="1"/>
  <c r="BN255" i="1" l="1"/>
  <c r="BK256" i="1"/>
  <c r="BM255" i="1"/>
  <c r="BK257" i="1" l="1"/>
  <c r="BN256" i="1"/>
  <c r="BM256" i="1"/>
  <c r="BK258" i="1" l="1"/>
  <c r="BN257" i="1"/>
  <c r="BM257" i="1"/>
  <c r="BN258" i="1" l="1"/>
  <c r="BK259" i="1"/>
  <c r="BM258" i="1"/>
  <c r="BK260" i="1" l="1"/>
  <c r="BN259" i="1"/>
  <c r="BM259" i="1"/>
  <c r="BN260" i="1" l="1"/>
  <c r="BK261" i="1"/>
  <c r="BM260" i="1"/>
  <c r="BN261" i="1" l="1"/>
  <c r="BK262" i="1"/>
  <c r="BM261" i="1"/>
  <c r="BK263" i="1" l="1"/>
  <c r="BN262" i="1"/>
  <c r="BM262" i="1"/>
  <c r="BN263" i="1" l="1"/>
  <c r="BK264" i="1"/>
  <c r="BM263" i="1"/>
  <c r="BN264" i="1" l="1"/>
  <c r="BK265" i="1"/>
  <c r="BM264" i="1"/>
  <c r="BN265" i="1" l="1"/>
  <c r="BK266" i="1"/>
  <c r="BM265" i="1"/>
  <c r="BN266" i="1" l="1"/>
  <c r="BK267" i="1"/>
  <c r="BM266" i="1"/>
  <c r="BN267" i="1" l="1"/>
  <c r="BK268" i="1"/>
  <c r="BM267" i="1"/>
  <c r="BN268" i="1" l="1"/>
  <c r="BK269" i="1"/>
  <c r="BM268" i="1"/>
  <c r="BN269" i="1" l="1"/>
  <c r="BK270" i="1"/>
  <c r="BM269" i="1"/>
  <c r="BN270" i="1" l="1"/>
  <c r="BK271" i="1"/>
  <c r="BM270" i="1"/>
  <c r="BN271" i="1" l="1"/>
  <c r="BK272" i="1"/>
  <c r="BM271" i="1"/>
  <c r="BK273" i="1" l="1"/>
  <c r="BN272" i="1"/>
  <c r="BM272" i="1"/>
  <c r="BN273" i="1" l="1"/>
  <c r="BK274" i="1"/>
  <c r="BM273" i="1"/>
  <c r="BN274" i="1" l="1"/>
  <c r="BK275" i="1"/>
  <c r="BM274" i="1"/>
  <c r="BK276" i="1" l="1"/>
  <c r="BN275" i="1"/>
  <c r="BM275" i="1"/>
  <c r="BK277" i="1" l="1"/>
  <c r="BN276" i="1"/>
  <c r="BM276" i="1"/>
  <c r="BN277" i="1" l="1"/>
  <c r="BK278" i="1"/>
  <c r="BM277" i="1"/>
  <c r="BN278" i="1" l="1"/>
  <c r="BK279" i="1"/>
  <c r="BM278" i="1"/>
  <c r="BK280" i="1" l="1"/>
  <c r="BN279" i="1"/>
  <c r="BM279" i="1"/>
  <c r="BK281" i="1" l="1"/>
  <c r="BN280" i="1"/>
  <c r="BM280" i="1"/>
  <c r="BK282" i="1" l="1"/>
  <c r="BN281" i="1"/>
  <c r="BM281" i="1"/>
  <c r="BN282" i="1" l="1"/>
  <c r="BK283" i="1"/>
  <c r="BM282" i="1"/>
  <c r="BN283" i="1" l="1"/>
  <c r="BK284" i="1"/>
  <c r="BM283" i="1"/>
  <c r="BK285" i="1" l="1"/>
  <c r="BN284" i="1"/>
  <c r="BM284" i="1"/>
  <c r="BN285" i="1" l="1"/>
  <c r="BK286" i="1"/>
  <c r="BM285" i="1"/>
  <c r="BK287" i="1" l="1"/>
  <c r="BN286" i="1"/>
  <c r="BM286" i="1"/>
  <c r="BK288" i="1" l="1"/>
  <c r="BN287" i="1"/>
  <c r="BM287" i="1"/>
  <c r="BN288" i="1" l="1"/>
  <c r="BK289" i="1"/>
  <c r="BM288" i="1"/>
  <c r="BN289" i="1" l="1"/>
  <c r="BK290" i="1"/>
  <c r="BM289" i="1"/>
  <c r="BN290" i="1" l="1"/>
  <c r="BK291" i="1"/>
  <c r="BM290" i="1"/>
  <c r="BK292" i="1" l="1"/>
  <c r="BN291" i="1"/>
  <c r="BM291" i="1"/>
  <c r="BK293" i="1" l="1"/>
  <c r="BN292" i="1"/>
  <c r="BM292" i="1"/>
  <c r="BN293" i="1" l="1"/>
  <c r="BK294" i="1"/>
  <c r="BM293" i="1"/>
  <c r="BN294" i="1" l="1"/>
  <c r="BK295" i="1"/>
  <c r="BM294" i="1"/>
  <c r="BK296" i="1" l="1"/>
  <c r="BN295" i="1"/>
  <c r="BM295" i="1"/>
  <c r="BN296" i="1" l="1"/>
  <c r="BK297" i="1"/>
  <c r="BM296" i="1"/>
  <c r="BK298" i="1" l="1"/>
  <c r="BN297" i="1"/>
  <c r="BM297" i="1"/>
  <c r="BN298" i="1" l="1"/>
  <c r="BK299" i="1"/>
  <c r="BM298" i="1"/>
  <c r="BN299" i="1" l="1"/>
  <c r="BK300" i="1"/>
  <c r="BM299" i="1"/>
  <c r="BK301" i="1" l="1"/>
  <c r="BN300" i="1"/>
  <c r="BM300" i="1"/>
  <c r="BN301" i="1" l="1"/>
  <c r="BK302" i="1"/>
  <c r="BM301" i="1"/>
  <c r="BN302" i="1" l="1"/>
  <c r="BK303" i="1"/>
  <c r="BM302" i="1"/>
  <c r="BK304" i="1" l="1"/>
  <c r="BN303" i="1"/>
  <c r="BM303" i="1"/>
  <c r="BN304" i="1" l="1"/>
  <c r="BK305" i="1"/>
  <c r="BM304" i="1"/>
  <c r="BN305" i="1" l="1"/>
  <c r="BK306" i="1"/>
  <c r="BM305" i="1"/>
  <c r="BN306" i="1" l="1"/>
  <c r="BK307" i="1"/>
  <c r="BM306" i="1"/>
  <c r="BN307" i="1" l="1"/>
  <c r="BK308" i="1"/>
  <c r="BM307" i="1"/>
  <c r="BN308" i="1" l="1"/>
  <c r="BK309" i="1"/>
  <c r="BM308" i="1"/>
  <c r="BK310" i="1" l="1"/>
  <c r="BN309" i="1"/>
  <c r="BM309" i="1"/>
  <c r="BN310" i="1" l="1"/>
  <c r="BK311" i="1"/>
  <c r="BM310" i="1"/>
  <c r="BK312" i="1" l="1"/>
  <c r="BN311" i="1"/>
  <c r="BM311" i="1"/>
  <c r="BN312" i="1" l="1"/>
  <c r="BK313" i="1"/>
  <c r="BM312" i="1"/>
  <c r="BK314" i="1" l="1"/>
  <c r="BN313" i="1"/>
  <c r="BM313" i="1"/>
  <c r="BN314" i="1" l="1"/>
  <c r="BK315" i="1"/>
  <c r="BM314" i="1"/>
  <c r="BN315" i="1" l="1"/>
  <c r="BK316" i="1"/>
  <c r="BM315" i="1"/>
  <c r="BN316" i="1" l="1"/>
  <c r="BK317" i="1"/>
  <c r="BM316" i="1"/>
  <c r="BN317" i="1" l="1"/>
  <c r="BK318" i="1"/>
  <c r="BM317" i="1"/>
  <c r="BN318" i="1" l="1"/>
  <c r="BK319" i="1"/>
  <c r="BM318" i="1"/>
  <c r="BK320" i="1" l="1"/>
  <c r="BN319" i="1"/>
  <c r="BM319" i="1"/>
  <c r="BN320" i="1" l="1"/>
  <c r="BK321" i="1"/>
  <c r="BM320" i="1"/>
  <c r="BN321" i="1" l="1"/>
  <c r="BK322" i="1"/>
  <c r="BM321" i="1"/>
  <c r="BN322" i="1" l="1"/>
  <c r="BK323" i="1"/>
  <c r="BM322" i="1"/>
  <c r="BN323" i="1" l="1"/>
  <c r="BK324" i="1"/>
  <c r="BM323" i="1"/>
  <c r="BK325" i="1" l="1"/>
  <c r="BN324" i="1"/>
  <c r="BM324" i="1"/>
  <c r="BN325" i="1" l="1"/>
  <c r="BK326" i="1"/>
  <c r="BM325" i="1"/>
  <c r="BK327" i="1" l="1"/>
  <c r="BN326" i="1"/>
  <c r="BM326" i="1"/>
  <c r="BK328" i="1" l="1"/>
  <c r="BN327" i="1"/>
  <c r="BM327" i="1"/>
  <c r="BN328" i="1" l="1"/>
  <c r="BK329" i="1"/>
  <c r="BM328" i="1"/>
  <c r="BN329" i="1" l="1"/>
  <c r="BK330" i="1"/>
  <c r="BM329" i="1"/>
  <c r="BN330" i="1" l="1"/>
  <c r="BK331" i="1"/>
  <c r="BM330" i="1"/>
  <c r="BN331" i="1" l="1"/>
  <c r="BK332" i="1"/>
  <c r="BM331" i="1"/>
  <c r="BK333" i="1" l="1"/>
  <c r="BN332" i="1"/>
  <c r="BM332" i="1"/>
  <c r="BN333" i="1" l="1"/>
  <c r="BK334" i="1"/>
  <c r="BM333" i="1"/>
  <c r="BN334" i="1" l="1"/>
  <c r="BK335" i="1"/>
  <c r="BM334" i="1"/>
  <c r="BK336" i="1" l="1"/>
  <c r="BN335" i="1"/>
  <c r="BM335" i="1"/>
  <c r="BN336" i="1" l="1"/>
  <c r="BK337" i="1"/>
  <c r="BM336" i="1"/>
  <c r="BN337" i="1" l="1"/>
  <c r="BK338" i="1"/>
  <c r="BM337" i="1"/>
  <c r="BN338" i="1" l="1"/>
  <c r="BK339" i="1"/>
  <c r="BM338" i="1"/>
  <c r="BN339" i="1" l="1"/>
  <c r="BK340" i="1"/>
  <c r="BM339" i="1"/>
  <c r="BK341" i="1" l="1"/>
  <c r="BN340" i="1"/>
  <c r="BM340" i="1"/>
  <c r="BN341" i="1" l="1"/>
  <c r="BK342" i="1"/>
  <c r="BM341" i="1"/>
  <c r="BN342" i="1" l="1"/>
  <c r="BK343" i="1"/>
  <c r="BM342" i="1"/>
  <c r="BK344" i="1" l="1"/>
  <c r="BN343" i="1"/>
  <c r="BM343" i="1"/>
  <c r="BN344" i="1" l="1"/>
  <c r="BK345" i="1"/>
  <c r="BM344" i="1"/>
  <c r="BK346" i="1" l="1"/>
  <c r="BN345" i="1"/>
  <c r="BM345" i="1"/>
  <c r="BN346" i="1" l="1"/>
  <c r="BK347" i="1"/>
  <c r="BM346" i="1"/>
  <c r="BN347" i="1" l="1"/>
  <c r="BK348" i="1"/>
  <c r="BM347" i="1"/>
  <c r="BN348" i="1" l="1"/>
  <c r="BK349" i="1"/>
  <c r="BM348" i="1"/>
  <c r="BN349" i="1" l="1"/>
  <c r="BK350" i="1"/>
  <c r="BM349" i="1"/>
  <c r="BN350" i="1" l="1"/>
  <c r="BK351" i="1"/>
  <c r="BM350" i="1"/>
  <c r="BK352" i="1" l="1"/>
  <c r="BN351" i="1"/>
  <c r="BM351" i="1"/>
  <c r="BK353" i="1" l="1"/>
  <c r="BN352" i="1"/>
  <c r="BM352" i="1"/>
  <c r="BN353" i="1" l="1"/>
  <c r="BK354" i="1"/>
  <c r="BM353" i="1"/>
  <c r="BN354" i="1" l="1"/>
  <c r="BK355" i="1"/>
  <c r="BM354" i="1"/>
  <c r="BK356" i="1" l="1"/>
  <c r="BN355" i="1"/>
  <c r="BM355" i="1"/>
  <c r="BK357" i="1" l="1"/>
  <c r="BN356" i="1"/>
  <c r="BM356" i="1"/>
  <c r="BN357" i="1" l="1"/>
  <c r="BK358" i="1"/>
  <c r="BM357" i="1"/>
  <c r="BN358" i="1" l="1"/>
  <c r="BK359" i="1"/>
  <c r="BM358" i="1"/>
  <c r="BK360" i="1" l="1"/>
  <c r="BN359" i="1"/>
  <c r="BM359" i="1"/>
  <c r="BN360" i="1" l="1"/>
  <c r="BK361" i="1"/>
  <c r="BM360" i="1"/>
  <c r="BN361" i="1" l="1"/>
  <c r="BK362" i="1"/>
  <c r="BM361" i="1"/>
  <c r="BN362" i="1" l="1"/>
  <c r="BK363" i="1"/>
  <c r="BM362" i="1"/>
  <c r="BN363" i="1" l="1"/>
  <c r="BK364" i="1"/>
  <c r="BM363" i="1"/>
  <c r="BK365" i="1" l="1"/>
  <c r="BN364" i="1"/>
  <c r="BM364" i="1"/>
  <c r="BN365" i="1" l="1"/>
  <c r="BK366" i="1"/>
  <c r="BM365" i="1"/>
  <c r="BN366" i="1" l="1"/>
  <c r="BK367" i="1"/>
  <c r="BM366" i="1"/>
  <c r="BN367" i="1" l="1"/>
  <c r="BK368" i="1"/>
  <c r="BM367" i="1"/>
  <c r="BN368" i="1" l="1"/>
  <c r="BK369" i="1"/>
  <c r="BM368" i="1"/>
  <c r="BN369" i="1" l="1"/>
  <c r="BK370" i="1"/>
  <c r="BM369" i="1"/>
  <c r="BN370" i="1" l="1"/>
  <c r="BK371" i="1"/>
  <c r="BM370" i="1"/>
  <c r="BN371" i="1" l="1"/>
  <c r="BK372" i="1"/>
  <c r="BM371" i="1"/>
  <c r="BN372" i="1" l="1"/>
  <c r="BK373" i="1"/>
  <c r="BM372" i="1"/>
  <c r="BN373" i="1" l="1"/>
  <c r="BK374" i="1"/>
  <c r="BM373" i="1"/>
  <c r="BN374" i="1" l="1"/>
  <c r="BK375" i="1"/>
  <c r="BM374" i="1"/>
  <c r="BK376" i="1" l="1"/>
  <c r="BN375" i="1"/>
  <c r="BM375" i="1"/>
  <c r="BN376" i="1" l="1"/>
  <c r="BK377" i="1"/>
  <c r="BM376" i="1"/>
  <c r="BN377" i="1" l="1"/>
  <c r="BK378" i="1"/>
  <c r="BM377" i="1"/>
  <c r="BN378" i="1" l="1"/>
  <c r="BK379" i="1"/>
  <c r="BM378" i="1"/>
  <c r="BN379" i="1" l="1"/>
  <c r="BK380" i="1"/>
  <c r="BM379" i="1"/>
  <c r="BK381" i="1" l="1"/>
  <c r="BN380" i="1"/>
  <c r="BM380" i="1"/>
  <c r="BN381" i="1" l="1"/>
  <c r="BK382" i="1"/>
  <c r="BM381" i="1"/>
  <c r="BK383" i="1" l="1"/>
  <c r="BN382" i="1"/>
  <c r="BM382" i="1"/>
  <c r="BK384" i="1" l="1"/>
  <c r="BN383" i="1"/>
  <c r="BM383" i="1"/>
  <c r="BN384" i="1" l="1"/>
  <c r="BK385" i="1"/>
  <c r="BM384" i="1"/>
  <c r="BN385" i="1" l="1"/>
  <c r="BK386" i="1"/>
  <c r="BM385" i="1"/>
  <c r="BN386" i="1" l="1"/>
  <c r="BK387" i="1"/>
  <c r="BM386" i="1"/>
  <c r="BN387" i="1" l="1"/>
  <c r="BK388" i="1"/>
  <c r="BM387" i="1"/>
  <c r="BK389" i="1" l="1"/>
  <c r="BN388" i="1"/>
  <c r="BM388" i="1"/>
  <c r="BN389" i="1" l="1"/>
  <c r="BK390" i="1"/>
  <c r="BM389" i="1"/>
  <c r="BN390" i="1" l="1"/>
  <c r="BK391" i="1"/>
  <c r="BM390" i="1"/>
  <c r="BK392" i="1" l="1"/>
  <c r="BN391" i="1"/>
  <c r="BM391" i="1"/>
  <c r="BN392" i="1" l="1"/>
  <c r="BK393" i="1"/>
  <c r="BM392" i="1"/>
  <c r="BN393" i="1" l="1"/>
  <c r="BK394" i="1"/>
  <c r="BM393" i="1"/>
  <c r="BK395" i="1" l="1"/>
  <c r="BN394" i="1"/>
  <c r="BM394" i="1"/>
  <c r="BN395" i="1" l="1"/>
  <c r="BK396" i="1"/>
  <c r="BM395" i="1"/>
  <c r="BN396" i="1" l="1"/>
  <c r="BK397" i="1"/>
  <c r="BM396" i="1"/>
  <c r="BK398" i="1" l="1"/>
  <c r="BN397" i="1"/>
  <c r="BM397" i="1"/>
  <c r="BK399" i="1" l="1"/>
  <c r="BN398" i="1"/>
  <c r="BM398" i="1"/>
  <c r="BN399" i="1" l="1"/>
  <c r="BK400" i="1"/>
  <c r="BM399" i="1"/>
  <c r="BK401" i="1" l="1"/>
  <c r="BN400" i="1"/>
  <c r="BM400" i="1"/>
  <c r="BK402" i="1" l="1"/>
  <c r="BN401" i="1"/>
  <c r="BM401" i="1"/>
  <c r="BN402" i="1" l="1"/>
  <c r="BK403" i="1"/>
  <c r="BM402" i="1"/>
  <c r="BK404" i="1" l="1"/>
  <c r="BN403" i="1"/>
  <c r="BM403" i="1"/>
  <c r="BK405" i="1" l="1"/>
  <c r="BN404" i="1"/>
  <c r="BM404" i="1"/>
  <c r="BN405" i="1" l="1"/>
  <c r="BK406" i="1"/>
  <c r="BM405" i="1"/>
  <c r="BN406" i="1" l="1"/>
  <c r="BK407" i="1"/>
  <c r="BM406" i="1"/>
  <c r="BN407" i="1" l="1"/>
  <c r="BK408" i="1"/>
  <c r="BM407" i="1"/>
  <c r="BN408" i="1" l="1"/>
  <c r="BK409" i="1"/>
  <c r="BM408" i="1"/>
  <c r="BN409" i="1" l="1"/>
  <c r="BK410" i="1"/>
  <c r="BM409" i="1"/>
  <c r="BK411" i="1" l="1"/>
  <c r="BN410" i="1"/>
  <c r="BM410" i="1"/>
  <c r="BK412" i="1" l="1"/>
  <c r="BN411" i="1"/>
  <c r="BM411" i="1"/>
  <c r="BN412" i="1" l="1"/>
  <c r="BK413" i="1"/>
  <c r="BM412" i="1"/>
  <c r="BN413" i="1" l="1"/>
  <c r="BK414" i="1"/>
  <c r="BM413" i="1"/>
  <c r="BN414" i="1" l="1"/>
  <c r="BK415" i="1"/>
  <c r="BM414" i="1"/>
  <c r="BN415" i="1" l="1"/>
  <c r="BK416" i="1"/>
  <c r="BM415" i="1"/>
  <c r="BK417" i="1" l="1"/>
  <c r="BN416" i="1"/>
  <c r="BM416" i="1"/>
  <c r="BK418" i="1" l="1"/>
  <c r="BN417" i="1"/>
  <c r="BM417" i="1"/>
  <c r="BN418" i="1" l="1"/>
  <c r="BK419" i="1"/>
  <c r="BM418" i="1"/>
  <c r="BN419" i="1" l="1"/>
  <c r="BK420" i="1"/>
  <c r="BM419" i="1"/>
  <c r="BK421" i="1" l="1"/>
  <c r="BN420" i="1"/>
  <c r="BM420" i="1"/>
  <c r="BK422" i="1" l="1"/>
  <c r="BN421" i="1"/>
  <c r="BM421" i="1"/>
  <c r="BN422" i="1" l="1"/>
  <c r="BK423" i="1"/>
  <c r="BM422" i="1"/>
  <c r="BN423" i="1" l="1"/>
  <c r="BK424" i="1"/>
  <c r="BM423" i="1"/>
  <c r="BK425" i="1" l="1"/>
  <c r="BN424" i="1"/>
  <c r="BM424" i="1"/>
  <c r="BN425" i="1" l="1"/>
  <c r="BK426" i="1"/>
  <c r="BM425" i="1"/>
  <c r="BK427" i="1" l="1"/>
  <c r="BN426" i="1"/>
  <c r="BM426" i="1"/>
  <c r="BK428" i="1" l="1"/>
  <c r="BN427" i="1"/>
  <c r="BM427" i="1"/>
  <c r="BN428" i="1" l="1"/>
  <c r="BK429" i="1"/>
  <c r="BM428" i="1"/>
  <c r="BN429" i="1" l="1"/>
  <c r="BK430" i="1"/>
  <c r="BM429" i="1"/>
  <c r="BN430" i="1" l="1"/>
  <c r="BK431" i="1"/>
  <c r="BM430" i="1"/>
  <c r="BN431" i="1" l="1"/>
  <c r="BK432" i="1"/>
  <c r="BM431" i="1"/>
  <c r="BK433" i="1" l="1"/>
  <c r="BN432" i="1"/>
  <c r="BM432" i="1"/>
  <c r="BN433" i="1" l="1"/>
  <c r="BK434" i="1"/>
  <c r="BM433" i="1"/>
  <c r="BK435" i="1" l="1"/>
  <c r="BN434" i="1"/>
  <c r="BM434" i="1"/>
  <c r="BK436" i="1" l="1"/>
  <c r="BN435" i="1"/>
  <c r="BM435" i="1"/>
  <c r="BN436" i="1" l="1"/>
  <c r="BK437" i="1"/>
  <c r="BM436" i="1"/>
  <c r="BN437" i="1" l="1"/>
  <c r="BK438" i="1"/>
  <c r="BM437" i="1"/>
  <c r="BN438" i="1" l="1"/>
  <c r="BK439" i="1"/>
  <c r="BM438" i="1"/>
  <c r="BK440" i="1" l="1"/>
  <c r="BN439" i="1"/>
  <c r="BM439" i="1"/>
  <c r="BK441" i="1" l="1"/>
  <c r="BN440" i="1"/>
  <c r="BM440" i="1"/>
  <c r="BN441" i="1" l="1"/>
  <c r="BK442" i="1"/>
  <c r="BM441" i="1"/>
  <c r="BK443" i="1" l="1"/>
  <c r="BN442" i="1"/>
  <c r="BM442" i="1"/>
  <c r="BN443" i="1" l="1"/>
  <c r="BK444" i="1"/>
  <c r="BM443" i="1"/>
  <c r="BN444" i="1" l="1"/>
  <c r="BK445" i="1"/>
  <c r="BM444" i="1"/>
  <c r="BN445" i="1" l="1"/>
  <c r="BK446" i="1"/>
  <c r="BM445" i="1"/>
  <c r="BK447" i="1" l="1"/>
  <c r="BN446" i="1"/>
  <c r="BM446" i="1"/>
  <c r="BN447" i="1" l="1"/>
  <c r="BK448" i="1"/>
  <c r="BM447" i="1"/>
  <c r="BK449" i="1" l="1"/>
  <c r="BN448" i="1"/>
  <c r="BM448" i="1"/>
  <c r="BK450" i="1" l="1"/>
  <c r="BN449" i="1"/>
  <c r="BM449" i="1"/>
  <c r="BN450" i="1" l="1"/>
  <c r="BK451" i="1"/>
  <c r="BM450" i="1"/>
  <c r="BN451" i="1" l="1"/>
  <c r="BK452" i="1"/>
  <c r="BM451" i="1"/>
  <c r="BK453" i="1" l="1"/>
  <c r="BN452" i="1"/>
  <c r="BM452" i="1"/>
  <c r="BK454" i="1" l="1"/>
  <c r="BN453" i="1"/>
  <c r="BM453" i="1"/>
  <c r="BN454" i="1" l="1"/>
  <c r="BK455" i="1"/>
  <c r="BM454" i="1"/>
  <c r="BN455" i="1" l="1"/>
  <c r="BK456" i="1"/>
  <c r="BM455" i="1"/>
  <c r="BN456" i="1" l="1"/>
  <c r="BK457" i="1"/>
  <c r="BM456" i="1"/>
  <c r="BN457" i="1" l="1"/>
  <c r="BK458" i="1"/>
  <c r="BM457" i="1"/>
  <c r="BN458" i="1" l="1"/>
  <c r="BK459" i="1"/>
  <c r="BM458" i="1"/>
  <c r="BK460" i="1" l="1"/>
  <c r="BN459" i="1"/>
  <c r="BM459" i="1"/>
  <c r="BN460" i="1" l="1"/>
  <c r="BK461" i="1"/>
  <c r="BM460" i="1"/>
  <c r="BK462" i="1" l="1"/>
  <c r="BN461" i="1"/>
  <c r="BM461" i="1"/>
  <c r="BN462" i="1" l="1"/>
  <c r="BK463" i="1"/>
  <c r="BM462" i="1"/>
  <c r="BN463" i="1" l="1"/>
  <c r="BK464" i="1"/>
  <c r="BM463" i="1"/>
  <c r="BK465" i="1" l="1"/>
  <c r="BN464" i="1"/>
  <c r="BM464" i="1"/>
  <c r="BN465" i="1" l="1"/>
  <c r="BK466" i="1"/>
  <c r="BM465" i="1"/>
  <c r="BK467" i="1" l="1"/>
  <c r="BN466" i="1"/>
  <c r="BM466" i="1"/>
  <c r="BK468" i="1" l="1"/>
  <c r="BN467" i="1"/>
  <c r="BM467" i="1"/>
  <c r="BN468" i="1" l="1"/>
  <c r="BK469" i="1"/>
  <c r="BM468" i="1"/>
  <c r="BN469" i="1" l="1"/>
  <c r="BK470" i="1"/>
  <c r="BM469" i="1"/>
  <c r="BK471" i="1" l="1"/>
  <c r="BN470" i="1"/>
  <c r="BM470" i="1"/>
  <c r="BN471" i="1" l="1"/>
  <c r="BK472" i="1"/>
  <c r="BM471" i="1"/>
  <c r="BK473" i="1" l="1"/>
  <c r="BN472" i="1"/>
  <c r="BM472" i="1"/>
  <c r="BK474" i="1" l="1"/>
  <c r="BN473" i="1"/>
  <c r="BM473" i="1"/>
  <c r="BN474" i="1" l="1"/>
  <c r="BK475" i="1"/>
  <c r="BM474" i="1"/>
  <c r="BK476" i="1" l="1"/>
  <c r="BN475" i="1"/>
  <c r="BM475" i="1"/>
  <c r="BN476" i="1" l="1"/>
  <c r="BK477" i="1"/>
  <c r="BM476" i="1"/>
  <c r="BK478" i="1" l="1"/>
  <c r="BN477" i="1"/>
  <c r="BM477" i="1"/>
  <c r="BN478" i="1" l="1"/>
  <c r="BK479" i="1"/>
  <c r="BM478" i="1"/>
  <c r="BN479" i="1" l="1"/>
  <c r="BK480" i="1"/>
  <c r="BM479" i="1"/>
  <c r="BK481" i="1" l="1"/>
  <c r="BN480" i="1"/>
  <c r="BM480" i="1"/>
  <c r="BN481" i="1" l="1"/>
  <c r="BK482" i="1"/>
  <c r="BM481" i="1"/>
  <c r="BN482" i="1" l="1"/>
  <c r="BK483" i="1"/>
  <c r="BM482" i="1"/>
  <c r="BN483" i="1" l="1"/>
  <c r="BK484" i="1"/>
  <c r="BM483" i="1"/>
  <c r="BN484" i="1" l="1"/>
  <c r="BK485" i="1"/>
  <c r="BM484" i="1"/>
  <c r="BK486" i="1" l="1"/>
  <c r="BN485" i="1"/>
  <c r="BM485" i="1"/>
  <c r="BN486" i="1" l="1"/>
  <c r="BK487" i="1"/>
  <c r="BM486" i="1"/>
  <c r="BN487" i="1" l="1"/>
  <c r="BK488" i="1"/>
  <c r="BM487" i="1"/>
  <c r="BN488" i="1" l="1"/>
  <c r="BK489" i="1"/>
  <c r="BM488" i="1"/>
  <c r="BN489" i="1" l="1"/>
  <c r="BK490" i="1"/>
  <c r="BM489" i="1"/>
  <c r="BN490" i="1" l="1"/>
  <c r="BK491" i="1"/>
  <c r="BM490" i="1"/>
  <c r="BK492" i="1" l="1"/>
  <c r="BN491" i="1"/>
  <c r="BM491" i="1"/>
  <c r="BN492" i="1" l="1"/>
  <c r="BK493" i="1"/>
  <c r="BM492" i="1"/>
  <c r="BK494" i="1" l="1"/>
  <c r="BN493" i="1"/>
  <c r="BM493" i="1"/>
  <c r="BN494" i="1" l="1"/>
  <c r="BK495" i="1"/>
  <c r="BM494" i="1"/>
  <c r="BN495" i="1" l="1"/>
  <c r="BK496" i="1"/>
  <c r="BM495" i="1"/>
  <c r="BK497" i="1" l="1"/>
  <c r="BN496" i="1"/>
  <c r="BM496" i="1"/>
  <c r="BN497" i="1" l="1"/>
  <c r="BK498" i="1"/>
  <c r="BM497" i="1"/>
  <c r="BN498" i="1" l="1"/>
  <c r="BK499" i="1"/>
  <c r="BM498" i="1"/>
  <c r="BK500" i="1" l="1"/>
  <c r="BN499" i="1"/>
  <c r="BM499" i="1"/>
  <c r="BN500" i="1" l="1"/>
  <c r="BK501" i="1"/>
  <c r="BM500" i="1"/>
  <c r="BN501" i="1" l="1"/>
  <c r="BK502" i="1"/>
  <c r="BM501" i="1"/>
  <c r="BN502" i="1" l="1"/>
  <c r="BK503" i="1"/>
  <c r="BM502" i="1"/>
  <c r="BN503" i="1" l="1"/>
  <c r="BK504" i="1"/>
  <c r="BM503" i="1"/>
  <c r="BK505" i="1" l="1"/>
  <c r="BN504" i="1"/>
  <c r="BM504" i="1"/>
  <c r="BN505" i="1" l="1"/>
  <c r="BK506" i="1"/>
  <c r="BM505" i="1"/>
  <c r="BN506" i="1" l="1"/>
  <c r="BK507" i="1"/>
  <c r="BM506" i="1"/>
  <c r="BK508" i="1" l="1"/>
  <c r="BN507" i="1"/>
  <c r="BM507" i="1"/>
  <c r="BN508" i="1" l="1"/>
  <c r="BK509" i="1"/>
  <c r="BM508" i="1"/>
  <c r="BN509" i="1" l="1"/>
  <c r="BK510" i="1"/>
  <c r="BM509" i="1"/>
  <c r="BN510" i="1" l="1"/>
  <c r="BK511" i="1"/>
  <c r="BM510" i="1"/>
  <c r="BN511" i="1" l="1"/>
  <c r="BK512" i="1"/>
  <c r="BM511" i="1"/>
  <c r="BN512" i="1" l="1"/>
  <c r="BK513" i="1"/>
  <c r="BM512" i="1"/>
  <c r="BK514" i="1" l="1"/>
  <c r="BN513" i="1"/>
  <c r="BM513" i="1"/>
  <c r="BN514" i="1" l="1"/>
  <c r="BK515" i="1"/>
  <c r="BM514" i="1"/>
  <c r="BN515" i="1" l="1"/>
  <c r="BK516" i="1"/>
  <c r="BM515" i="1"/>
  <c r="BK517" i="1" l="1"/>
  <c r="BN516" i="1"/>
  <c r="BM516" i="1"/>
  <c r="BK518" i="1" l="1"/>
  <c r="BN517" i="1"/>
  <c r="BM517" i="1"/>
  <c r="BN518" i="1" l="1"/>
  <c r="BK519" i="1"/>
  <c r="BM518" i="1"/>
  <c r="BK520" i="1" l="1"/>
  <c r="BN519" i="1"/>
  <c r="BM519" i="1"/>
  <c r="BK521" i="1" l="1"/>
  <c r="BN520" i="1"/>
  <c r="BM520" i="1"/>
  <c r="BN521" i="1" l="1"/>
  <c r="BK522" i="1"/>
  <c r="BM521" i="1"/>
  <c r="BN522" i="1" l="1"/>
  <c r="BK523" i="1"/>
  <c r="BM522" i="1"/>
  <c r="BK524" i="1" l="1"/>
  <c r="BN523" i="1"/>
  <c r="BM523" i="1"/>
  <c r="BK525" i="1" l="1"/>
  <c r="BN524" i="1"/>
  <c r="BM524" i="1"/>
  <c r="BN525" i="1" l="1"/>
  <c r="BK526" i="1"/>
  <c r="BM525" i="1"/>
  <c r="BN526" i="1" l="1"/>
  <c r="BK527" i="1"/>
  <c r="BM526" i="1"/>
  <c r="BN527" i="1" l="1"/>
  <c r="BK528" i="1"/>
  <c r="BM527" i="1"/>
  <c r="BK529" i="1" l="1"/>
  <c r="BN528" i="1"/>
  <c r="BM528" i="1"/>
  <c r="BK530" i="1" l="1"/>
  <c r="BN529" i="1"/>
  <c r="BM529" i="1"/>
  <c r="BN530" i="1" l="1"/>
  <c r="BK531" i="1"/>
  <c r="BM530" i="1"/>
  <c r="BN531" i="1" l="1"/>
  <c r="BK532" i="1"/>
  <c r="BM531" i="1"/>
  <c r="BK533" i="1" l="1"/>
  <c r="BN532" i="1"/>
  <c r="BM532" i="1"/>
  <c r="BK534" i="1" l="1"/>
  <c r="BN533" i="1"/>
  <c r="BM533" i="1"/>
  <c r="BN534" i="1" l="1"/>
  <c r="BK535" i="1"/>
  <c r="BM534" i="1"/>
  <c r="BK536" i="1" l="1"/>
  <c r="BN535" i="1"/>
  <c r="BM535" i="1"/>
  <c r="BK537" i="1" l="1"/>
  <c r="BN536" i="1"/>
  <c r="BM536" i="1"/>
  <c r="BN537" i="1" l="1"/>
  <c r="BK538" i="1"/>
  <c r="BM537" i="1"/>
  <c r="BN538" i="1" l="1"/>
  <c r="BK539" i="1"/>
  <c r="BM538" i="1"/>
  <c r="BK540" i="1" l="1"/>
  <c r="BN539" i="1"/>
  <c r="BM539" i="1"/>
  <c r="BN540" i="1" l="1"/>
  <c r="BK541" i="1"/>
  <c r="BM540" i="1"/>
  <c r="BN541" i="1" l="1"/>
  <c r="BK542" i="1"/>
  <c r="BM541" i="1"/>
  <c r="BK543" i="1" l="1"/>
  <c r="BN542" i="1"/>
  <c r="BM542" i="1"/>
  <c r="BN543" i="1" l="1"/>
  <c r="BK544" i="1"/>
  <c r="BM543" i="1"/>
  <c r="BN544" i="1" l="1"/>
  <c r="BK545" i="1"/>
  <c r="BM544" i="1"/>
  <c r="BN545" i="1" l="1"/>
  <c r="BK546" i="1"/>
  <c r="BM545" i="1"/>
  <c r="BN546" i="1" l="1"/>
  <c r="BK547" i="1"/>
  <c r="BM546" i="1"/>
  <c r="BK548" i="1" l="1"/>
  <c r="BN547" i="1"/>
  <c r="BM547" i="1"/>
  <c r="BN548" i="1" l="1"/>
  <c r="BK549" i="1"/>
  <c r="BM548" i="1"/>
  <c r="BN549" i="1" l="1"/>
  <c r="BK550" i="1"/>
  <c r="BM549" i="1"/>
  <c r="BK551" i="1" l="1"/>
  <c r="BN550" i="1"/>
  <c r="BM550" i="1"/>
  <c r="BN551" i="1" l="1"/>
  <c r="BK552" i="1"/>
  <c r="BM551" i="1"/>
  <c r="BN552" i="1" l="1"/>
  <c r="BK553" i="1"/>
  <c r="BM552" i="1"/>
  <c r="BN553" i="1" l="1"/>
  <c r="BK554" i="1"/>
  <c r="BM553" i="1"/>
  <c r="BN554" i="1" l="1"/>
  <c r="BK555" i="1"/>
  <c r="BM554" i="1"/>
  <c r="BK556" i="1" l="1"/>
  <c r="BN555" i="1"/>
  <c r="BM555" i="1"/>
  <c r="BN556" i="1" l="1"/>
  <c r="BK557" i="1"/>
  <c r="BM556" i="1"/>
  <c r="BN557" i="1" l="1"/>
  <c r="BK558" i="1"/>
  <c r="BM557" i="1"/>
  <c r="BK559" i="1" l="1"/>
  <c r="BN558" i="1"/>
  <c r="BM558" i="1"/>
  <c r="BN559" i="1" l="1"/>
  <c r="BK560" i="1"/>
  <c r="BM559" i="1"/>
  <c r="BN560" i="1" l="1"/>
  <c r="BK561" i="1"/>
  <c r="BM560" i="1"/>
  <c r="BN561" i="1" l="1"/>
  <c r="BK562" i="1"/>
  <c r="BM561" i="1"/>
  <c r="BN562" i="1" l="1"/>
  <c r="BK563" i="1"/>
  <c r="BM562" i="1"/>
  <c r="BK564" i="1" l="1"/>
  <c r="BN563" i="1"/>
  <c r="BM563" i="1"/>
  <c r="BN564" i="1" l="1"/>
  <c r="BK565" i="1"/>
  <c r="BM564" i="1"/>
  <c r="BN565" i="1" l="1"/>
  <c r="BK566" i="1"/>
  <c r="BM565" i="1"/>
  <c r="BK567" i="1" l="1"/>
  <c r="BN566" i="1"/>
  <c r="BM566" i="1"/>
  <c r="BK568" i="1" l="1"/>
  <c r="BN567" i="1"/>
  <c r="BM567" i="1"/>
  <c r="BN568" i="1" l="1"/>
  <c r="BK569" i="1"/>
  <c r="BM568" i="1"/>
  <c r="BN569" i="1" l="1"/>
  <c r="BK570" i="1"/>
  <c r="BM569" i="1"/>
  <c r="BN570" i="1" l="1"/>
  <c r="BK571" i="1"/>
  <c r="BM570" i="1"/>
  <c r="BK572" i="1" l="1"/>
  <c r="BN571" i="1"/>
  <c r="BM571" i="1"/>
  <c r="BN572" i="1" l="1"/>
  <c r="BK573" i="1"/>
  <c r="BM572" i="1"/>
  <c r="BN573" i="1" l="1"/>
  <c r="BK574" i="1"/>
  <c r="BM573" i="1"/>
  <c r="BK575" i="1" l="1"/>
  <c r="BN574" i="1"/>
  <c r="BM574" i="1"/>
  <c r="BN575" i="1" l="1"/>
  <c r="BK576" i="1"/>
  <c r="BM575" i="1"/>
  <c r="BN576" i="1" l="1"/>
  <c r="BK577" i="1"/>
  <c r="BM576" i="1"/>
  <c r="BN577" i="1" l="1"/>
  <c r="BK578" i="1"/>
  <c r="BM577" i="1"/>
  <c r="BK579" i="1" l="1"/>
  <c r="BN578" i="1"/>
  <c r="BM578" i="1"/>
  <c r="BK580" i="1" l="1"/>
  <c r="BN579" i="1"/>
  <c r="BM579" i="1"/>
  <c r="BN580" i="1" l="1"/>
  <c r="BK581" i="1"/>
  <c r="BM580" i="1"/>
  <c r="BN581" i="1" l="1"/>
  <c r="BK582" i="1"/>
  <c r="BM581" i="1"/>
  <c r="BK583" i="1" l="1"/>
  <c r="BN582" i="1"/>
  <c r="BM582" i="1"/>
  <c r="BN583" i="1" l="1"/>
  <c r="BK584" i="1"/>
  <c r="BM583" i="1"/>
  <c r="BN584" i="1" l="1"/>
  <c r="BK585" i="1"/>
  <c r="BM584" i="1"/>
  <c r="BN585" i="1" l="1"/>
  <c r="BK586" i="1"/>
  <c r="BM585" i="1"/>
  <c r="BN586" i="1" l="1"/>
  <c r="BK587" i="1"/>
  <c r="BM586" i="1"/>
  <c r="BK588" i="1" l="1"/>
  <c r="BN587" i="1"/>
  <c r="BM587" i="1"/>
  <c r="BN588" i="1" l="1"/>
  <c r="BK589" i="1"/>
  <c r="BM588" i="1"/>
  <c r="BN589" i="1" l="1"/>
  <c r="BK590" i="1"/>
  <c r="BM589" i="1"/>
  <c r="BK591" i="1" l="1"/>
  <c r="BN590" i="1"/>
  <c r="BM590" i="1"/>
  <c r="BN591" i="1" l="1"/>
  <c r="BK592" i="1"/>
  <c r="BM591" i="1"/>
  <c r="BN592" i="1" l="1"/>
  <c r="BK593" i="1"/>
  <c r="BM592" i="1"/>
  <c r="BN593" i="1" l="1"/>
  <c r="BK594" i="1"/>
  <c r="BM593" i="1"/>
  <c r="BK595" i="1" l="1"/>
  <c r="BN594" i="1"/>
  <c r="BM594" i="1"/>
  <c r="BK596" i="1" l="1"/>
  <c r="BN595" i="1"/>
  <c r="BM595" i="1"/>
  <c r="BN596" i="1" l="1"/>
  <c r="BK597" i="1"/>
  <c r="BM596" i="1"/>
  <c r="BN597" i="1" l="1"/>
  <c r="BK598" i="1"/>
  <c r="BM597" i="1"/>
  <c r="BK599" i="1" l="1"/>
  <c r="BN598" i="1"/>
  <c r="BM598" i="1"/>
  <c r="BN599" i="1" l="1"/>
  <c r="BK600" i="1"/>
  <c r="BM599" i="1"/>
  <c r="BN600" i="1" l="1"/>
  <c r="BK601" i="1"/>
  <c r="BM600" i="1"/>
  <c r="BN601" i="1" l="1"/>
  <c r="BK602" i="1"/>
  <c r="BM601" i="1"/>
  <c r="BK603" i="1" l="1"/>
  <c r="BN602" i="1"/>
  <c r="BM602" i="1"/>
  <c r="BK604" i="1" l="1"/>
  <c r="BN603" i="1"/>
  <c r="BM603" i="1"/>
  <c r="BN604" i="1" l="1"/>
  <c r="BK605" i="1"/>
  <c r="BM604" i="1"/>
  <c r="BN605" i="1" l="1"/>
  <c r="BK606" i="1"/>
  <c r="BM605" i="1"/>
  <c r="BK607" i="1" l="1"/>
  <c r="BN606" i="1"/>
  <c r="BM606" i="1"/>
  <c r="BN607" i="1" l="1"/>
  <c r="BK608" i="1"/>
  <c r="BM607" i="1"/>
  <c r="BN608" i="1" l="1"/>
  <c r="BK609" i="1"/>
  <c r="BM608" i="1"/>
  <c r="BN609" i="1" l="1"/>
  <c r="BK610" i="1"/>
  <c r="BM609" i="1"/>
  <c r="BN610" i="1" l="1"/>
  <c r="BK611" i="1"/>
  <c r="BM610" i="1"/>
  <c r="BK612" i="1" l="1"/>
  <c r="BN611" i="1"/>
  <c r="BM611" i="1"/>
  <c r="BN612" i="1" l="1"/>
  <c r="BK613" i="1"/>
  <c r="BM612" i="1"/>
  <c r="BN613" i="1" l="1"/>
  <c r="BK614" i="1"/>
  <c r="BM613" i="1"/>
  <c r="BK615" i="1" l="1"/>
  <c r="BN614" i="1"/>
  <c r="BM614" i="1"/>
  <c r="BN615" i="1" l="1"/>
  <c r="BK616" i="1"/>
  <c r="BM615" i="1"/>
  <c r="BN616" i="1" l="1"/>
  <c r="BK617" i="1"/>
  <c r="BM616" i="1"/>
  <c r="BN617" i="1" l="1"/>
  <c r="BK618" i="1"/>
  <c r="BM617" i="1"/>
  <c r="BN618" i="1" l="1"/>
  <c r="BK619" i="1"/>
  <c r="BM618" i="1"/>
  <c r="BN619" i="1" l="1"/>
  <c r="BK620" i="1"/>
  <c r="BM619" i="1"/>
  <c r="BN620" i="1" l="1"/>
  <c r="BK621" i="1"/>
  <c r="BM620" i="1"/>
  <c r="BN621" i="1" l="1"/>
  <c r="BK622" i="1"/>
  <c r="BM621" i="1"/>
  <c r="BK623" i="1" l="1"/>
  <c r="BN622" i="1"/>
  <c r="BM622" i="1"/>
  <c r="BN623" i="1" l="1"/>
  <c r="BK624" i="1"/>
  <c r="BM623" i="1"/>
  <c r="BN624" i="1" l="1"/>
  <c r="BK625" i="1"/>
  <c r="BM624" i="1"/>
  <c r="BN625" i="1" l="1"/>
  <c r="BK626" i="1"/>
  <c r="BM625" i="1"/>
  <c r="BN626" i="1" l="1"/>
  <c r="BK627" i="1"/>
  <c r="BM626" i="1"/>
  <c r="BN627" i="1" l="1"/>
  <c r="BK628" i="1"/>
  <c r="BM627" i="1"/>
  <c r="BN628" i="1" l="1"/>
  <c r="BK629" i="1"/>
  <c r="BM628" i="1"/>
  <c r="BN629" i="1" l="1"/>
  <c r="BK630" i="1"/>
  <c r="BM629" i="1"/>
  <c r="BK631" i="1" l="1"/>
  <c r="BN630" i="1"/>
  <c r="BM630" i="1"/>
  <c r="BN631" i="1" l="1"/>
  <c r="BK632" i="1"/>
  <c r="BM631" i="1"/>
  <c r="BN632" i="1" l="1"/>
  <c r="BK633" i="1"/>
  <c r="BM632" i="1"/>
  <c r="BN633" i="1" l="1"/>
  <c r="BK634" i="1"/>
  <c r="BM633" i="1"/>
  <c r="BN634" i="1" l="1"/>
  <c r="BK635" i="1"/>
  <c r="BM634" i="1"/>
  <c r="BN635" i="1" l="1"/>
  <c r="BK636" i="1"/>
  <c r="BM635" i="1"/>
  <c r="BN636" i="1" l="1"/>
  <c r="BK637" i="1"/>
  <c r="BM636" i="1"/>
  <c r="BN637" i="1" l="1"/>
  <c r="BK638" i="1"/>
  <c r="BM637" i="1"/>
  <c r="BK639" i="1" l="1"/>
  <c r="BN638" i="1"/>
  <c r="BM638" i="1"/>
  <c r="BN639" i="1" l="1"/>
  <c r="BK640" i="1"/>
  <c r="BM639" i="1"/>
  <c r="BN640" i="1" l="1"/>
  <c r="BK641" i="1"/>
  <c r="BM640" i="1"/>
  <c r="BN641" i="1" l="1"/>
  <c r="BK642" i="1"/>
  <c r="BM641" i="1"/>
  <c r="BN642" i="1" l="1"/>
  <c r="BK643" i="1"/>
  <c r="BM642" i="1"/>
  <c r="BK644" i="1" l="1"/>
  <c r="BN643" i="1"/>
  <c r="BM643" i="1"/>
  <c r="BN644" i="1" l="1"/>
  <c r="BK645" i="1"/>
  <c r="BM644" i="1"/>
  <c r="BN645" i="1" l="1"/>
  <c r="BK646" i="1"/>
  <c r="BM645" i="1"/>
  <c r="BK647" i="1" l="1"/>
  <c r="BN646" i="1"/>
  <c r="BM646" i="1"/>
  <c r="BN647" i="1" l="1"/>
  <c r="BK648" i="1"/>
  <c r="BM647" i="1"/>
  <c r="BN648" i="1" l="1"/>
  <c r="BK649" i="1"/>
  <c r="BM648" i="1"/>
  <c r="BN649" i="1" l="1"/>
  <c r="BK650" i="1"/>
  <c r="BM649" i="1"/>
  <c r="BN650" i="1" l="1"/>
  <c r="BK651" i="1"/>
  <c r="BM650" i="1"/>
  <c r="BK652" i="1" l="1"/>
  <c r="BN651" i="1"/>
  <c r="BM651" i="1"/>
  <c r="BN652" i="1" l="1"/>
  <c r="BK653" i="1"/>
  <c r="BM652" i="1"/>
  <c r="BN653" i="1" l="1"/>
  <c r="BK654" i="1"/>
  <c r="BM653" i="1"/>
  <c r="BK655" i="1" l="1"/>
  <c r="BN654" i="1"/>
  <c r="BM654" i="1"/>
  <c r="BN655" i="1" l="1"/>
  <c r="BK656" i="1"/>
  <c r="BM655" i="1"/>
  <c r="BN656" i="1" l="1"/>
  <c r="BK657" i="1"/>
  <c r="BM656" i="1"/>
  <c r="BN657" i="1" l="1"/>
  <c r="BK658" i="1"/>
  <c r="BM657" i="1"/>
  <c r="BN658" i="1" l="1"/>
  <c r="BK659" i="1"/>
  <c r="BM658" i="1"/>
  <c r="BK660" i="1" l="1"/>
  <c r="BN659" i="1"/>
  <c r="BM659" i="1"/>
  <c r="BN660" i="1" l="1"/>
  <c r="BK661" i="1"/>
  <c r="BM660" i="1"/>
  <c r="BN661" i="1" l="1"/>
  <c r="BK662" i="1"/>
  <c r="BM661" i="1"/>
  <c r="BK663" i="1" l="1"/>
  <c r="BN662" i="1"/>
  <c r="BM662" i="1"/>
  <c r="BN663" i="1" l="1"/>
  <c r="BK664" i="1"/>
  <c r="BM663" i="1"/>
  <c r="BN664" i="1" l="1"/>
  <c r="BK665" i="1"/>
  <c r="BM664" i="1"/>
  <c r="BN665" i="1" l="1"/>
  <c r="BK666" i="1"/>
  <c r="BM665" i="1"/>
  <c r="BN666" i="1" l="1"/>
  <c r="BK667" i="1"/>
  <c r="BM666" i="1"/>
  <c r="BK668" i="1" l="1"/>
  <c r="BN667" i="1"/>
  <c r="BM667" i="1"/>
  <c r="BN668" i="1" l="1"/>
  <c r="BK669" i="1"/>
  <c r="BM668" i="1"/>
  <c r="BN669" i="1" l="1"/>
  <c r="BK670" i="1"/>
  <c r="BM669" i="1"/>
  <c r="BK671" i="1" l="1"/>
  <c r="BN670" i="1"/>
  <c r="BM670" i="1"/>
  <c r="BK672" i="1" l="1"/>
  <c r="BN671" i="1"/>
  <c r="BM671" i="1"/>
  <c r="BN672" i="1" l="1"/>
  <c r="BK673" i="1"/>
  <c r="BM672" i="1"/>
  <c r="BN673" i="1" l="1"/>
  <c r="BK674" i="1"/>
  <c r="BM673" i="1"/>
  <c r="BN674" i="1" l="1"/>
  <c r="BK675" i="1"/>
  <c r="BM674" i="1"/>
  <c r="BK676" i="1" l="1"/>
  <c r="BN675" i="1"/>
  <c r="BM675" i="1"/>
  <c r="BN676" i="1" l="1"/>
  <c r="BK677" i="1"/>
  <c r="BM676" i="1"/>
  <c r="BN677" i="1" l="1"/>
  <c r="BK678" i="1"/>
  <c r="BM677" i="1"/>
  <c r="BK679" i="1" l="1"/>
  <c r="BN678" i="1"/>
  <c r="BM678" i="1"/>
  <c r="BN679" i="1" l="1"/>
  <c r="BK680" i="1"/>
  <c r="BM679" i="1"/>
  <c r="BN680" i="1" l="1"/>
  <c r="BK681" i="1"/>
  <c r="BM680" i="1"/>
  <c r="BN681" i="1" l="1"/>
  <c r="BK682" i="1"/>
  <c r="BM681" i="1"/>
  <c r="BN682" i="1" l="1"/>
  <c r="BK683" i="1"/>
  <c r="BM682" i="1"/>
  <c r="BK684" i="1" l="1"/>
  <c r="BN683" i="1"/>
  <c r="BM683" i="1"/>
  <c r="BK685" i="1" l="1"/>
  <c r="BN684" i="1"/>
  <c r="BM684" i="1"/>
  <c r="BN685" i="1" l="1"/>
  <c r="BK686" i="1"/>
  <c r="BM685" i="1"/>
  <c r="BK687" i="1" l="1"/>
  <c r="BN686" i="1"/>
  <c r="BM686" i="1"/>
  <c r="BN687" i="1" l="1"/>
  <c r="BK688" i="1"/>
  <c r="BM687" i="1"/>
  <c r="BN688" i="1" l="1"/>
  <c r="BK689" i="1"/>
  <c r="BM688" i="1"/>
  <c r="BN689" i="1" l="1"/>
  <c r="BK690" i="1"/>
  <c r="BM689" i="1"/>
  <c r="BN690" i="1" l="1"/>
  <c r="BK691" i="1"/>
  <c r="BM690" i="1"/>
  <c r="BK692" i="1" l="1"/>
  <c r="BN691" i="1"/>
  <c r="BM691" i="1"/>
  <c r="BN692" i="1" l="1"/>
  <c r="BK693" i="1"/>
  <c r="BM692" i="1"/>
  <c r="BN693" i="1" l="1"/>
  <c r="BK694" i="1"/>
  <c r="BM693" i="1"/>
  <c r="BK695" i="1" l="1"/>
  <c r="BN694" i="1"/>
  <c r="BM694" i="1"/>
  <c r="BN695" i="1" l="1"/>
  <c r="BK696" i="1"/>
  <c r="BM695" i="1"/>
  <c r="BN696" i="1" l="1"/>
  <c r="BK697" i="1"/>
  <c r="BM696" i="1"/>
  <c r="BN697" i="1" l="1"/>
  <c r="BK698" i="1"/>
  <c r="BM697" i="1"/>
  <c r="BN698" i="1" l="1"/>
  <c r="BK699" i="1"/>
  <c r="BM698" i="1"/>
  <c r="BK700" i="1" l="1"/>
  <c r="BN699" i="1"/>
  <c r="BM699" i="1"/>
  <c r="BN700" i="1" l="1"/>
  <c r="BK701" i="1"/>
  <c r="BM700" i="1"/>
  <c r="BN701" i="1" l="1"/>
  <c r="BK702" i="1"/>
  <c r="BM701" i="1"/>
  <c r="BK703" i="1" l="1"/>
  <c r="BN702" i="1"/>
  <c r="BM702" i="1"/>
  <c r="BN703" i="1" l="1"/>
  <c r="BK704" i="1"/>
  <c r="BM703" i="1"/>
  <c r="BN704" i="1" l="1"/>
  <c r="BK705" i="1"/>
  <c r="BM704" i="1"/>
  <c r="BN705" i="1" l="1"/>
  <c r="BK706" i="1"/>
  <c r="BM705" i="1"/>
  <c r="BN706" i="1" l="1"/>
  <c r="BK707" i="1"/>
  <c r="BM706" i="1"/>
  <c r="BK708" i="1" l="1"/>
  <c r="BN707" i="1"/>
  <c r="BM707" i="1"/>
  <c r="BN708" i="1" l="1"/>
  <c r="BK709" i="1"/>
  <c r="BM708" i="1"/>
  <c r="BN709" i="1" l="1"/>
  <c r="BK710" i="1"/>
  <c r="BM709" i="1"/>
  <c r="BK711" i="1" l="1"/>
  <c r="BN710" i="1"/>
  <c r="BM710" i="1"/>
  <c r="BN711" i="1" l="1"/>
  <c r="BK712" i="1"/>
  <c r="BM711" i="1"/>
  <c r="BN712" i="1" l="1"/>
  <c r="BK713" i="1"/>
  <c r="BM712" i="1"/>
  <c r="BN713" i="1" l="1"/>
  <c r="BK714" i="1"/>
  <c r="BM713" i="1"/>
  <c r="BN714" i="1" l="1"/>
  <c r="BK715" i="1"/>
  <c r="BM714" i="1"/>
  <c r="BK716" i="1" l="1"/>
  <c r="BN715" i="1"/>
  <c r="BM715" i="1"/>
  <c r="BK717" i="1" l="1"/>
  <c r="BN716" i="1"/>
  <c r="BM716" i="1"/>
  <c r="BN717" i="1" l="1"/>
  <c r="BK718" i="1"/>
  <c r="BM717" i="1"/>
  <c r="BK719" i="1" l="1"/>
  <c r="BN718" i="1"/>
  <c r="BM718" i="1"/>
  <c r="BN719" i="1" l="1"/>
  <c r="BK720" i="1"/>
  <c r="BM719" i="1"/>
  <c r="BN720" i="1" l="1"/>
  <c r="BK721" i="1"/>
  <c r="BM720" i="1"/>
  <c r="BN721" i="1" l="1"/>
  <c r="BK722" i="1"/>
  <c r="BM721" i="1"/>
  <c r="BN722" i="1" l="1"/>
  <c r="BK723" i="1"/>
  <c r="BM722" i="1"/>
  <c r="BK724" i="1" l="1"/>
  <c r="BN723" i="1"/>
  <c r="BM723" i="1"/>
  <c r="BN724" i="1" l="1"/>
  <c r="BK725" i="1"/>
  <c r="BM724" i="1"/>
  <c r="BK726" i="1" l="1"/>
  <c r="BN725" i="1"/>
  <c r="BM725" i="1"/>
  <c r="BK727" i="1" l="1"/>
  <c r="BN726" i="1"/>
  <c r="BM726" i="1"/>
  <c r="BK728" i="1" l="1"/>
  <c r="BN727" i="1"/>
  <c r="BM727" i="1"/>
  <c r="BK729" i="1" l="1"/>
  <c r="BN728" i="1"/>
  <c r="BM728" i="1"/>
  <c r="BN729" i="1" l="1"/>
  <c r="BK730" i="1"/>
  <c r="BM729" i="1"/>
  <c r="BK731" i="1" l="1"/>
  <c r="BN730" i="1"/>
  <c r="BM730" i="1"/>
  <c r="BK732" i="1" l="1"/>
  <c r="BN731" i="1"/>
  <c r="BM731" i="1"/>
  <c r="BN732" i="1" l="1"/>
  <c r="BK733" i="1"/>
  <c r="BM732" i="1"/>
  <c r="BN733" i="1" l="1"/>
  <c r="BK734" i="1"/>
  <c r="BM733" i="1"/>
  <c r="BK735" i="1" l="1"/>
  <c r="BN734" i="1"/>
  <c r="BM734" i="1"/>
  <c r="BN735" i="1" l="1"/>
  <c r="BK736" i="1"/>
  <c r="BM735" i="1"/>
  <c r="BN736" i="1" l="1"/>
  <c r="BK737" i="1"/>
  <c r="BM736" i="1"/>
  <c r="BN737" i="1" l="1"/>
  <c r="BK738" i="1"/>
  <c r="BM737" i="1"/>
  <c r="BK739" i="1" l="1"/>
  <c r="BN738" i="1"/>
  <c r="BM738" i="1"/>
  <c r="BK740" i="1" l="1"/>
  <c r="BN739" i="1"/>
  <c r="BM739" i="1"/>
  <c r="BN740" i="1" l="1"/>
  <c r="BK741" i="1"/>
  <c r="BM740" i="1"/>
  <c r="BN741" i="1" l="1"/>
  <c r="BK742" i="1"/>
  <c r="BM741" i="1"/>
  <c r="BK743" i="1" l="1"/>
  <c r="BN742" i="1"/>
  <c r="BM742" i="1"/>
  <c r="BN743" i="1" l="1"/>
  <c r="BK744" i="1"/>
  <c r="BM743" i="1"/>
  <c r="BN744" i="1" l="1"/>
  <c r="BK745" i="1"/>
  <c r="BM744" i="1"/>
  <c r="BN745" i="1" l="1"/>
  <c r="BK746" i="1"/>
  <c r="BM745" i="1"/>
  <c r="BN746" i="1" l="1"/>
  <c r="BK747" i="1"/>
  <c r="BM746" i="1"/>
  <c r="BK748" i="1" l="1"/>
  <c r="BN747" i="1"/>
  <c r="BM747" i="1"/>
  <c r="BN748" i="1" l="1"/>
  <c r="BK749" i="1"/>
  <c r="BM748" i="1"/>
  <c r="BN749" i="1" l="1"/>
  <c r="BK750" i="1"/>
  <c r="BM749" i="1"/>
  <c r="BN750" i="1" l="1"/>
  <c r="BK751" i="1"/>
  <c r="BM750" i="1"/>
  <c r="BK752" i="1" l="1"/>
  <c r="BN751" i="1"/>
  <c r="BM751" i="1"/>
  <c r="BN752" i="1" l="1"/>
  <c r="BK753" i="1"/>
  <c r="BM752" i="1"/>
  <c r="BN753" i="1" l="1"/>
  <c r="BK754" i="1"/>
  <c r="BM753" i="1"/>
  <c r="BK755" i="1" l="1"/>
  <c r="BN754" i="1"/>
  <c r="BM754" i="1"/>
  <c r="BK756" i="1" l="1"/>
  <c r="BN755" i="1"/>
  <c r="BM755" i="1"/>
  <c r="BN756" i="1" l="1"/>
  <c r="BK757" i="1"/>
  <c r="BM756" i="1"/>
  <c r="BN757" i="1" l="1"/>
  <c r="BK758" i="1"/>
  <c r="BM757" i="1"/>
  <c r="BK759" i="1" l="1"/>
  <c r="BN758" i="1"/>
  <c r="BM758" i="1"/>
  <c r="BK760" i="1" l="1"/>
  <c r="BN759" i="1"/>
  <c r="BM759" i="1"/>
  <c r="BK761" i="1" l="1"/>
  <c r="BN760" i="1"/>
  <c r="BM760" i="1"/>
  <c r="BN761" i="1" l="1"/>
  <c r="BK762" i="1"/>
  <c r="BM761" i="1"/>
  <c r="BN762" i="1" l="1"/>
  <c r="BK763" i="1"/>
  <c r="BM762" i="1"/>
  <c r="BK764" i="1" l="1"/>
  <c r="BN763" i="1"/>
  <c r="BM763" i="1"/>
  <c r="BN764" i="1" l="1"/>
  <c r="BK765" i="1"/>
  <c r="BM764" i="1"/>
  <c r="BK766" i="1" l="1"/>
  <c r="BN765" i="1"/>
  <c r="BM765" i="1"/>
  <c r="BK767" i="1" l="1"/>
  <c r="BN766" i="1"/>
  <c r="BM766" i="1"/>
  <c r="BN767" i="1" l="1"/>
  <c r="BK768" i="1"/>
  <c r="BM767" i="1"/>
  <c r="BN768" i="1" l="1"/>
  <c r="BK769" i="1"/>
  <c r="BM768" i="1"/>
  <c r="BN769" i="1" l="1"/>
  <c r="BK770" i="1"/>
  <c r="BM769" i="1"/>
  <c r="BN770" i="1" l="1"/>
  <c r="BK771" i="1"/>
  <c r="BM770" i="1"/>
  <c r="BK772" i="1" l="1"/>
  <c r="BN771" i="1"/>
  <c r="BM771" i="1"/>
  <c r="BN772" i="1" l="1"/>
  <c r="BK773" i="1"/>
  <c r="BM772" i="1"/>
  <c r="BN773" i="1" l="1"/>
  <c r="BK774" i="1"/>
  <c r="BM773" i="1"/>
  <c r="BK775" i="1" l="1"/>
  <c r="BN774" i="1"/>
  <c r="BM774" i="1"/>
  <c r="BN775" i="1" l="1"/>
  <c r="BK776" i="1"/>
  <c r="BM775" i="1"/>
  <c r="BK777" i="1" l="1"/>
  <c r="BN776" i="1"/>
  <c r="BM776" i="1"/>
  <c r="BN777" i="1" l="1"/>
  <c r="BK778" i="1"/>
  <c r="BM777" i="1"/>
  <c r="BK779" i="1" l="1"/>
  <c r="BN778" i="1"/>
  <c r="BM778" i="1"/>
  <c r="BN779" i="1" l="1"/>
  <c r="BK780" i="1"/>
  <c r="BM779" i="1"/>
  <c r="BN780" i="1" l="1"/>
  <c r="BK781" i="1"/>
  <c r="BM780" i="1"/>
  <c r="BN781" i="1" l="1"/>
  <c r="BK782" i="1"/>
  <c r="BM781" i="1"/>
  <c r="BK783" i="1" l="1"/>
  <c r="BN782" i="1"/>
  <c r="BM782" i="1"/>
  <c r="BN783" i="1" l="1"/>
  <c r="BK784" i="1"/>
  <c r="BM783" i="1"/>
  <c r="BK785" i="1" l="1"/>
  <c r="BN784" i="1"/>
  <c r="BM784" i="1"/>
  <c r="BN785" i="1" l="1"/>
  <c r="BK786" i="1"/>
  <c r="BM785" i="1"/>
  <c r="BN786" i="1" l="1"/>
  <c r="BK787" i="1"/>
  <c r="BM786" i="1"/>
  <c r="BN787" i="1" l="1"/>
  <c r="BK788" i="1"/>
  <c r="BM787" i="1"/>
  <c r="BK789" i="1" l="1"/>
  <c r="BN788" i="1"/>
  <c r="BM788" i="1"/>
  <c r="BN789" i="1" l="1"/>
  <c r="BK790" i="1"/>
  <c r="BM789" i="1"/>
  <c r="BK791" i="1" l="1"/>
  <c r="BN790" i="1"/>
  <c r="BM790" i="1"/>
  <c r="BK792" i="1" l="1"/>
  <c r="BN791" i="1"/>
  <c r="BM791" i="1"/>
  <c r="BK793" i="1" l="1"/>
  <c r="BN792" i="1"/>
  <c r="BM792" i="1"/>
  <c r="BN793" i="1" l="1"/>
  <c r="BK794" i="1"/>
  <c r="BM793" i="1"/>
  <c r="BK795" i="1" l="1"/>
  <c r="BN794" i="1"/>
  <c r="BM794" i="1"/>
  <c r="BK796" i="1" l="1"/>
  <c r="BN795" i="1"/>
  <c r="BM795" i="1"/>
  <c r="BK797" i="1" l="1"/>
  <c r="BN796" i="1"/>
  <c r="BM796" i="1"/>
  <c r="BK798" i="1" l="1"/>
  <c r="BN797" i="1"/>
  <c r="BM797" i="1"/>
  <c r="BK799" i="1" l="1"/>
  <c r="BN798" i="1"/>
  <c r="BM798" i="1"/>
  <c r="BN799" i="1" l="1"/>
  <c r="BK800" i="1"/>
  <c r="BM799" i="1"/>
  <c r="BN800" i="1" l="1"/>
  <c r="BK801" i="1"/>
  <c r="BM800" i="1"/>
  <c r="BK802" i="1" l="1"/>
  <c r="BN801" i="1"/>
  <c r="BM801" i="1"/>
  <c r="BN802" i="1" l="1"/>
  <c r="BK803" i="1"/>
  <c r="BM802" i="1"/>
  <c r="BK804" i="1" l="1"/>
  <c r="BN803" i="1"/>
  <c r="BM803" i="1"/>
  <c r="BK805" i="1" l="1"/>
  <c r="BN804" i="1"/>
  <c r="BM804" i="1"/>
  <c r="BN805" i="1" l="1"/>
  <c r="BK806" i="1"/>
  <c r="BM805" i="1"/>
  <c r="BK807" i="1" l="1"/>
  <c r="BN806" i="1"/>
  <c r="BM806" i="1"/>
  <c r="BK808" i="1" l="1"/>
  <c r="BN807" i="1"/>
  <c r="BM807" i="1"/>
  <c r="BN808" i="1" l="1"/>
  <c r="BK809" i="1"/>
  <c r="BM808" i="1"/>
  <c r="BK810" i="1" l="1"/>
  <c r="BN809" i="1"/>
  <c r="BM809" i="1"/>
  <c r="BN810" i="1" l="1"/>
  <c r="BK811" i="1"/>
  <c r="BM810" i="1"/>
  <c r="BK812" i="1" l="1"/>
  <c r="BN811" i="1"/>
  <c r="BM811" i="1"/>
  <c r="BN812" i="1" l="1"/>
  <c r="BK813" i="1"/>
  <c r="BM812" i="1"/>
  <c r="BN813" i="1" l="1"/>
  <c r="BK814" i="1"/>
  <c r="BM813" i="1"/>
  <c r="BN814" i="1" l="1"/>
  <c r="BK815" i="1"/>
  <c r="BM814" i="1"/>
  <c r="BN815" i="1" l="1"/>
  <c r="BK816" i="1"/>
  <c r="BM815" i="1"/>
  <c r="BN816" i="1" l="1"/>
  <c r="BK817" i="1"/>
  <c r="BM816" i="1"/>
  <c r="BN817" i="1" l="1"/>
  <c r="BK818" i="1"/>
  <c r="BM817" i="1"/>
  <c r="BN818" i="1" l="1"/>
  <c r="BK819" i="1"/>
  <c r="BM818" i="1"/>
  <c r="BN819" i="1" l="1"/>
  <c r="BK820" i="1"/>
  <c r="BM819" i="1"/>
  <c r="BN820" i="1" l="1"/>
  <c r="BK821" i="1"/>
  <c r="BM820" i="1"/>
  <c r="BK822" i="1" l="1"/>
  <c r="BN821" i="1"/>
  <c r="BM821" i="1"/>
  <c r="BK823" i="1" l="1"/>
  <c r="BN822" i="1"/>
  <c r="BM822" i="1"/>
  <c r="BK824" i="1" l="1"/>
  <c r="BN823" i="1"/>
  <c r="BM823" i="1"/>
  <c r="BK825" i="1" l="1"/>
  <c r="BN824" i="1"/>
  <c r="BM824" i="1"/>
  <c r="BK826" i="1" l="1"/>
  <c r="BN825" i="1"/>
  <c r="BM825" i="1"/>
  <c r="BN826" i="1" l="1"/>
  <c r="BK827" i="1"/>
  <c r="BM826" i="1"/>
  <c r="BK828" i="1" l="1"/>
  <c r="BN827" i="1"/>
  <c r="BM827" i="1"/>
  <c r="BK829" i="1" l="1"/>
  <c r="BN828" i="1"/>
  <c r="BM828" i="1"/>
  <c r="BK830" i="1" l="1"/>
  <c r="BN829" i="1"/>
  <c r="BM829" i="1"/>
  <c r="BN830" i="1" l="1"/>
  <c r="BK831" i="1"/>
  <c r="BM830" i="1"/>
  <c r="BN831" i="1" l="1"/>
  <c r="BK832" i="1"/>
  <c r="BM831" i="1"/>
  <c r="BN832" i="1" l="1"/>
  <c r="BK833" i="1"/>
  <c r="BM832" i="1"/>
  <c r="BN833" i="1" l="1"/>
  <c r="BK834" i="1"/>
  <c r="BM833" i="1"/>
  <c r="BK835" i="1" l="1"/>
  <c r="BN834" i="1"/>
  <c r="BM834" i="1"/>
  <c r="BK836" i="1" l="1"/>
  <c r="BN835" i="1"/>
  <c r="BM835" i="1"/>
  <c r="BN836" i="1" l="1"/>
  <c r="BK837" i="1"/>
  <c r="BM836" i="1"/>
  <c r="BN837" i="1" l="1"/>
  <c r="BK838" i="1"/>
  <c r="BM837" i="1"/>
  <c r="BN838" i="1" l="1"/>
  <c r="BK839" i="1"/>
  <c r="BM838" i="1"/>
  <c r="BN839" i="1" l="1"/>
  <c r="BK840" i="1"/>
  <c r="BM839" i="1"/>
  <c r="BK841" i="1" l="1"/>
  <c r="BN840" i="1"/>
  <c r="BM840" i="1"/>
  <c r="BK842" i="1" l="1"/>
  <c r="BN841" i="1"/>
  <c r="BM841" i="1"/>
  <c r="BN842" i="1" l="1"/>
  <c r="BK843" i="1"/>
  <c r="BM842" i="1"/>
  <c r="BN843" i="1" l="1"/>
  <c r="BK844" i="1"/>
  <c r="BM843" i="1"/>
  <c r="BN844" i="1" l="1"/>
  <c r="BK845" i="1"/>
  <c r="BM844" i="1"/>
  <c r="BN845" i="1" l="1"/>
  <c r="BK846" i="1"/>
  <c r="BM845" i="1"/>
  <c r="BN846" i="1" l="1"/>
  <c r="BK847" i="1"/>
  <c r="BM846" i="1"/>
  <c r="BN847" i="1" l="1"/>
  <c r="BK848" i="1"/>
  <c r="BM847" i="1"/>
  <c r="BK849" i="1" l="1"/>
  <c r="BN848" i="1"/>
  <c r="BM848" i="1"/>
  <c r="BK850" i="1" l="1"/>
  <c r="BN849" i="1"/>
  <c r="BM849" i="1"/>
  <c r="BN850" i="1" l="1"/>
  <c r="BK851" i="1"/>
  <c r="BM850" i="1"/>
  <c r="BN851" i="1" l="1"/>
  <c r="BK852" i="1"/>
  <c r="BM851" i="1"/>
  <c r="BN852" i="1" l="1"/>
  <c r="BK853" i="1"/>
  <c r="BM852" i="1"/>
  <c r="BK854" i="1" l="1"/>
  <c r="BN853" i="1"/>
  <c r="BM853" i="1"/>
  <c r="BN854" i="1" l="1"/>
  <c r="BK855" i="1"/>
  <c r="BM854" i="1"/>
  <c r="BN855" i="1" l="1"/>
  <c r="BK856" i="1"/>
  <c r="BM855" i="1"/>
  <c r="BN856" i="1" l="1"/>
  <c r="BK857" i="1"/>
  <c r="BM856" i="1"/>
  <c r="BK858" i="1" l="1"/>
  <c r="BN857" i="1"/>
  <c r="BM857" i="1"/>
  <c r="BN858" i="1" l="1"/>
  <c r="BK859" i="1"/>
  <c r="BM858" i="1"/>
  <c r="BK860" i="1" l="1"/>
  <c r="BN859" i="1"/>
  <c r="BM859" i="1"/>
  <c r="BN860" i="1" l="1"/>
  <c r="BK861" i="1"/>
  <c r="BM860" i="1"/>
  <c r="BN861" i="1" l="1"/>
  <c r="BK862" i="1"/>
  <c r="BM861" i="1"/>
  <c r="BN862" i="1" l="1"/>
  <c r="BK863" i="1"/>
  <c r="BM862" i="1"/>
  <c r="BN863" i="1" l="1"/>
  <c r="BK864" i="1"/>
  <c r="BM863" i="1"/>
  <c r="BN864" i="1" l="1"/>
  <c r="BK865" i="1"/>
  <c r="BM864" i="1"/>
  <c r="BN865" i="1" l="1"/>
  <c r="BK866" i="1"/>
  <c r="BM865" i="1"/>
  <c r="BN866" i="1" l="1"/>
  <c r="BK867" i="1"/>
  <c r="BM866" i="1"/>
  <c r="BN867" i="1" l="1"/>
  <c r="BK868" i="1"/>
  <c r="BM867" i="1"/>
  <c r="BK869" i="1" l="1"/>
  <c r="BN868" i="1"/>
  <c r="BM868" i="1"/>
  <c r="BN869" i="1" l="1"/>
  <c r="BK870" i="1"/>
  <c r="BM869" i="1"/>
  <c r="BK871" i="1" l="1"/>
  <c r="BN870" i="1"/>
  <c r="BM870" i="1"/>
  <c r="BK872" i="1" l="1"/>
  <c r="BN871" i="1"/>
  <c r="BM871" i="1"/>
  <c r="BK873" i="1" l="1"/>
  <c r="BN872" i="1"/>
  <c r="BM872" i="1"/>
  <c r="BK874" i="1" l="1"/>
  <c r="BN873" i="1"/>
  <c r="BM873" i="1"/>
  <c r="BN874" i="1" l="1"/>
  <c r="BK875" i="1"/>
  <c r="BM874" i="1"/>
  <c r="BK876" i="1" l="1"/>
  <c r="BN875" i="1"/>
  <c r="BM875" i="1"/>
  <c r="BN876" i="1" l="1"/>
  <c r="BK877" i="1"/>
  <c r="BM876" i="1"/>
  <c r="BN877" i="1" l="1"/>
  <c r="BK878" i="1"/>
  <c r="BM877" i="1"/>
  <c r="BN878" i="1" l="1"/>
  <c r="BK879" i="1"/>
  <c r="BM878" i="1"/>
  <c r="BN879" i="1" l="1"/>
  <c r="BK880" i="1"/>
  <c r="BM879" i="1"/>
  <c r="BK881" i="1" l="1"/>
  <c r="BN880" i="1"/>
  <c r="BM880" i="1"/>
  <c r="BK882" i="1" l="1"/>
  <c r="BN881" i="1"/>
  <c r="BM881" i="1"/>
  <c r="BN882" i="1" l="1"/>
  <c r="BK883" i="1"/>
  <c r="BM882" i="1"/>
  <c r="BN883" i="1" l="1"/>
  <c r="BK884" i="1"/>
  <c r="BM883" i="1"/>
  <c r="BN884" i="1" l="1"/>
  <c r="BK885" i="1"/>
  <c r="BM884" i="1"/>
  <c r="BN885" i="1" l="1"/>
  <c r="BK886" i="1"/>
  <c r="BM885" i="1"/>
  <c r="BN886" i="1" l="1"/>
  <c r="BK887" i="1"/>
  <c r="BM886" i="1"/>
  <c r="BN887" i="1" l="1"/>
  <c r="BK888" i="1"/>
  <c r="BM887" i="1"/>
  <c r="BK889" i="1" l="1"/>
  <c r="BN888" i="1"/>
  <c r="BM888" i="1"/>
  <c r="BN889" i="1" l="1"/>
  <c r="BK890" i="1"/>
  <c r="BM889" i="1"/>
  <c r="BK891" i="1" l="1"/>
  <c r="BN890" i="1"/>
  <c r="BM890" i="1"/>
  <c r="BN891" i="1" l="1"/>
  <c r="BK892" i="1"/>
  <c r="BM891" i="1"/>
  <c r="BN892" i="1" l="1"/>
  <c r="BK893" i="1"/>
  <c r="BM892" i="1"/>
  <c r="BN893" i="1" l="1"/>
  <c r="BK894" i="1"/>
  <c r="BM893" i="1"/>
  <c r="BN894" i="1" l="1"/>
  <c r="BK895" i="1"/>
  <c r="BM894" i="1"/>
  <c r="BN895" i="1" l="1"/>
  <c r="BK896" i="1"/>
  <c r="BM895" i="1"/>
  <c r="BN896" i="1" l="1"/>
  <c r="BK897" i="1"/>
  <c r="BM896" i="1"/>
  <c r="BN897" i="1" l="1"/>
  <c r="BK898" i="1"/>
  <c r="BM897" i="1"/>
  <c r="BN898" i="1" l="1"/>
  <c r="BK899" i="1"/>
  <c r="BM898" i="1"/>
  <c r="BK900" i="1" l="1"/>
  <c r="BN899" i="1"/>
  <c r="BM899" i="1"/>
  <c r="BK901" i="1" l="1"/>
  <c r="BN900" i="1"/>
  <c r="BM900" i="1"/>
  <c r="BK902" i="1" l="1"/>
  <c r="BN901" i="1"/>
  <c r="BM901" i="1"/>
  <c r="BN902" i="1" l="1"/>
  <c r="BK903" i="1"/>
  <c r="BM902" i="1"/>
  <c r="BN903" i="1" l="1"/>
  <c r="BK904" i="1"/>
  <c r="BM903" i="1"/>
  <c r="BK905" i="1" l="1"/>
  <c r="BN904" i="1"/>
  <c r="BM904" i="1"/>
  <c r="BK906" i="1" l="1"/>
  <c r="BN905" i="1"/>
  <c r="BM905" i="1"/>
  <c r="BN906" i="1" l="1"/>
  <c r="BK907" i="1"/>
  <c r="BM906" i="1"/>
  <c r="BN907" i="1" l="1"/>
  <c r="BK908" i="1"/>
  <c r="BM907" i="1"/>
  <c r="BN908" i="1" l="1"/>
  <c r="BK909" i="1"/>
  <c r="BM908" i="1"/>
  <c r="BK910" i="1" l="1"/>
  <c r="BN909" i="1"/>
  <c r="BM909" i="1"/>
  <c r="BK911" i="1" l="1"/>
  <c r="BN910" i="1"/>
  <c r="BM910" i="1"/>
  <c r="BK912" i="1" l="1"/>
  <c r="BN911" i="1"/>
  <c r="BM911" i="1"/>
  <c r="BN912" i="1" l="1"/>
  <c r="BK913" i="1"/>
  <c r="BM912" i="1"/>
  <c r="BK914" i="1" l="1"/>
  <c r="BN913" i="1"/>
  <c r="BM913" i="1"/>
  <c r="BN914" i="1" l="1"/>
  <c r="BK915" i="1"/>
  <c r="BM914" i="1"/>
  <c r="BN915" i="1" l="1"/>
  <c r="BK916" i="1"/>
  <c r="BM915" i="1"/>
  <c r="BK917" i="1" l="1"/>
  <c r="BN916" i="1"/>
  <c r="BM916" i="1"/>
  <c r="BK918" i="1" l="1"/>
  <c r="BN917" i="1"/>
  <c r="BM917" i="1"/>
  <c r="BK919" i="1" l="1"/>
  <c r="BN918" i="1"/>
  <c r="BM918" i="1"/>
  <c r="BN919" i="1" l="1"/>
  <c r="BK920" i="1"/>
  <c r="BM919" i="1"/>
  <c r="BN920" i="1" l="1"/>
  <c r="BK921" i="1"/>
  <c r="BM920" i="1"/>
  <c r="BK922" i="1" l="1"/>
  <c r="BN921" i="1"/>
  <c r="BM921" i="1"/>
  <c r="BN922" i="1" l="1"/>
  <c r="BK923" i="1"/>
  <c r="BM922" i="1"/>
  <c r="BN923" i="1" l="1"/>
  <c r="BK924" i="1"/>
  <c r="BM923" i="1"/>
  <c r="BN924" i="1" l="1"/>
  <c r="BK925" i="1"/>
  <c r="BM924" i="1"/>
  <c r="BK926" i="1" l="1"/>
  <c r="BN925" i="1"/>
  <c r="BM925" i="1"/>
  <c r="BN926" i="1" l="1"/>
  <c r="BK927" i="1"/>
  <c r="BM926" i="1"/>
  <c r="BN927" i="1" l="1"/>
  <c r="BK928" i="1"/>
  <c r="BM927" i="1"/>
  <c r="BN928" i="1" l="1"/>
  <c r="BK929" i="1"/>
  <c r="BM928" i="1"/>
  <c r="BN929" i="1" l="1"/>
  <c r="BK930" i="1"/>
  <c r="BM929" i="1"/>
  <c r="BN930" i="1" l="1"/>
  <c r="BK931" i="1"/>
  <c r="BM930" i="1"/>
  <c r="BN931" i="1" l="1"/>
  <c r="BK932" i="1"/>
  <c r="BM931" i="1"/>
  <c r="BK933" i="1" l="1"/>
  <c r="BN932" i="1"/>
  <c r="BM932" i="1"/>
  <c r="BN933" i="1" l="1"/>
  <c r="BK934" i="1"/>
  <c r="BM933" i="1"/>
  <c r="BN934" i="1" l="1"/>
  <c r="BK935" i="1"/>
  <c r="BM934" i="1"/>
  <c r="BN935" i="1" l="1"/>
  <c r="BK936" i="1"/>
  <c r="BM935" i="1"/>
  <c r="BK937" i="1" l="1"/>
  <c r="BN936" i="1"/>
  <c r="BM936" i="1"/>
  <c r="BN937" i="1" l="1"/>
  <c r="BK938" i="1"/>
  <c r="BM937" i="1"/>
  <c r="BN938" i="1" l="1"/>
  <c r="BK939" i="1"/>
  <c r="BM938" i="1"/>
  <c r="BK940" i="1" l="1"/>
  <c r="BN939" i="1"/>
  <c r="BM939" i="1"/>
  <c r="BN940" i="1" l="1"/>
  <c r="BK941" i="1"/>
  <c r="BM940" i="1"/>
  <c r="BN941" i="1" l="1"/>
  <c r="BK942" i="1"/>
  <c r="BM941" i="1"/>
  <c r="BN942" i="1" l="1"/>
  <c r="BK943" i="1"/>
  <c r="BM942" i="1"/>
  <c r="BN943" i="1" l="1"/>
  <c r="BK944" i="1"/>
  <c r="BM943" i="1"/>
  <c r="BN944" i="1" l="1"/>
  <c r="BK945" i="1"/>
  <c r="BM944" i="1"/>
  <c r="BK946" i="1" l="1"/>
  <c r="BN945" i="1"/>
  <c r="BM945" i="1"/>
  <c r="BK947" i="1" l="1"/>
  <c r="BN946" i="1"/>
  <c r="BM946" i="1"/>
  <c r="BN947" i="1" l="1"/>
  <c r="BK948" i="1"/>
  <c r="BM947" i="1"/>
  <c r="BK949" i="1" l="1"/>
  <c r="BN948" i="1"/>
  <c r="BM948" i="1"/>
  <c r="BK950" i="1" l="1"/>
  <c r="BN949" i="1"/>
  <c r="BM949" i="1"/>
  <c r="BN950" i="1" l="1"/>
  <c r="BK951" i="1"/>
  <c r="BM950" i="1"/>
  <c r="BN951" i="1" l="1"/>
  <c r="BK952" i="1"/>
  <c r="BM951" i="1"/>
  <c r="BN952" i="1" l="1"/>
  <c r="BK953" i="1"/>
  <c r="BM952" i="1"/>
  <c r="BK954" i="1" l="1"/>
  <c r="BN953" i="1"/>
  <c r="BM953" i="1"/>
  <c r="BN954" i="1" l="1"/>
  <c r="BK955" i="1"/>
  <c r="BM954" i="1"/>
  <c r="BK956" i="1" l="1"/>
  <c r="BN955" i="1"/>
  <c r="BM955" i="1"/>
  <c r="BN956" i="1" l="1"/>
  <c r="BK957" i="1"/>
  <c r="BM956" i="1"/>
  <c r="BK958" i="1" l="1"/>
  <c r="BN957" i="1"/>
  <c r="BM957" i="1"/>
  <c r="BK959" i="1" l="1"/>
  <c r="BN958" i="1"/>
  <c r="BM958" i="1"/>
  <c r="BN959" i="1" l="1"/>
  <c r="BK960" i="1"/>
  <c r="BM959" i="1"/>
  <c r="BK961" i="1" l="1"/>
  <c r="BN960" i="1"/>
  <c r="BM960" i="1"/>
  <c r="BK962" i="1" l="1"/>
  <c r="BN961" i="1"/>
  <c r="BM961" i="1"/>
  <c r="BN962" i="1" l="1"/>
  <c r="BK963" i="1"/>
  <c r="BM962" i="1"/>
  <c r="BK964" i="1" l="1"/>
  <c r="BN963" i="1"/>
  <c r="BM963" i="1"/>
  <c r="BN964" i="1" l="1"/>
  <c r="BK965" i="1"/>
  <c r="BM964" i="1"/>
  <c r="BN965" i="1" l="1"/>
  <c r="BK966" i="1"/>
  <c r="BM965" i="1"/>
  <c r="BN966" i="1" l="1"/>
  <c r="BK967" i="1"/>
  <c r="BM966" i="1"/>
  <c r="BN967" i="1" l="1"/>
  <c r="BK968" i="1"/>
  <c r="BM967" i="1"/>
  <c r="BN968" i="1" l="1"/>
  <c r="BK969" i="1"/>
  <c r="BM968" i="1"/>
  <c r="BN969" i="1" l="1"/>
  <c r="BK970" i="1"/>
  <c r="BM969" i="1"/>
  <c r="BN970" i="1" l="1"/>
  <c r="BK971" i="1"/>
  <c r="BM970" i="1"/>
  <c r="BK972" i="1" l="1"/>
  <c r="BN971" i="1"/>
  <c r="BM971" i="1"/>
  <c r="BN972" i="1" l="1"/>
  <c r="BK973" i="1"/>
  <c r="BM972" i="1"/>
  <c r="BK974" i="1" l="1"/>
  <c r="BN973" i="1"/>
  <c r="BM973" i="1"/>
  <c r="BK975" i="1" l="1"/>
  <c r="BN974" i="1"/>
  <c r="BM974" i="1"/>
  <c r="BN975" i="1" l="1"/>
  <c r="BK976" i="1"/>
  <c r="BM975" i="1"/>
  <c r="BN976" i="1" l="1"/>
  <c r="BK977" i="1"/>
  <c r="BM976" i="1"/>
  <c r="BK978" i="1" l="1"/>
  <c r="BN977" i="1"/>
  <c r="BM977" i="1"/>
  <c r="BK979" i="1" l="1"/>
  <c r="BN978" i="1"/>
  <c r="BM978" i="1"/>
  <c r="BN979" i="1" l="1"/>
  <c r="BK980" i="1"/>
  <c r="BM979" i="1"/>
  <c r="BN980" i="1" l="1"/>
  <c r="BK981" i="1"/>
  <c r="BM980" i="1"/>
  <c r="BN981" i="1" l="1"/>
  <c r="BK982" i="1"/>
  <c r="BM981" i="1"/>
  <c r="BN982" i="1" l="1"/>
  <c r="BK983" i="1"/>
  <c r="BM982" i="1"/>
  <c r="BK984" i="1" l="1"/>
  <c r="BN983" i="1"/>
  <c r="BM983" i="1"/>
  <c r="BN984" i="1" l="1"/>
  <c r="BK985" i="1"/>
  <c r="BM984" i="1"/>
  <c r="BK986" i="1" l="1"/>
  <c r="BN985" i="1"/>
  <c r="BM985" i="1"/>
  <c r="BK987" i="1" l="1"/>
  <c r="BN986" i="1"/>
  <c r="BM986" i="1"/>
  <c r="BN987" i="1" l="1"/>
  <c r="BK988" i="1"/>
  <c r="BM987" i="1"/>
  <c r="BK989" i="1" l="1"/>
  <c r="BN988" i="1"/>
  <c r="BM988" i="1"/>
  <c r="BN989" i="1" l="1"/>
  <c r="BK990" i="1"/>
  <c r="BM989" i="1"/>
  <c r="BN990" i="1" l="1"/>
  <c r="BK991" i="1"/>
  <c r="BM990" i="1"/>
  <c r="BN991" i="1" l="1"/>
  <c r="BK992" i="1"/>
  <c r="BM991" i="1"/>
  <c r="BK993" i="1" l="1"/>
  <c r="BN992" i="1"/>
  <c r="BM992" i="1"/>
  <c r="BK994" i="1" l="1"/>
  <c r="BN993" i="1"/>
  <c r="BM993" i="1"/>
  <c r="BK995" i="1" l="1"/>
  <c r="BN994" i="1"/>
  <c r="BM994" i="1"/>
  <c r="BN995" i="1" l="1"/>
  <c r="BK996" i="1"/>
  <c r="BM995" i="1"/>
  <c r="BK997" i="1" l="1"/>
  <c r="BN996" i="1"/>
  <c r="BM996" i="1"/>
  <c r="BK998" i="1" l="1"/>
  <c r="BN997" i="1"/>
  <c r="BM997" i="1"/>
  <c r="BK999" i="1" l="1"/>
  <c r="BN998" i="1"/>
  <c r="BM998" i="1"/>
  <c r="BN999" i="1" l="1"/>
  <c r="BK1000" i="1"/>
  <c r="BM999" i="1"/>
  <c r="BN1000" i="1" l="1"/>
  <c r="BK1001" i="1"/>
  <c r="BM1000" i="1"/>
  <c r="BN1001" i="1" l="1"/>
  <c r="BK1002" i="1"/>
  <c r="BM1001" i="1"/>
  <c r="BN1002" i="1" l="1"/>
  <c r="BK1003" i="1"/>
  <c r="BM1002" i="1"/>
  <c r="BN1003" i="1" l="1"/>
  <c r="BK1004" i="1"/>
  <c r="BM1003" i="1"/>
  <c r="BN1004" i="1" l="1"/>
  <c r="BK1005" i="1"/>
  <c r="BM1004" i="1"/>
  <c r="BK1006" i="1" l="1"/>
  <c r="BN1005" i="1"/>
  <c r="BM1005" i="1"/>
  <c r="BK1007" i="1" l="1"/>
  <c r="BN1006" i="1"/>
  <c r="BM1006" i="1"/>
  <c r="BN1007" i="1" l="1"/>
  <c r="BK1008" i="1"/>
  <c r="BM1007" i="1"/>
  <c r="BN1008" i="1" l="1"/>
  <c r="BK1009" i="1"/>
  <c r="BM1008" i="1"/>
  <c r="BN1009" i="1" l="1"/>
  <c r="BK1010" i="1"/>
  <c r="BM1009" i="1"/>
  <c r="BN1010" i="1" l="1"/>
  <c r="BK1011" i="1"/>
  <c r="BM1010" i="1"/>
  <c r="BK1012" i="1" l="1"/>
  <c r="BN1011" i="1"/>
  <c r="BM1011" i="1"/>
  <c r="BN1012" i="1" l="1"/>
  <c r="BK1013" i="1"/>
  <c r="BM1012" i="1"/>
  <c r="BN1013" i="1" l="1"/>
  <c r="BK1014" i="1"/>
  <c r="BM1013" i="1"/>
  <c r="BN1014" i="1" l="1"/>
  <c r="BK1015" i="1"/>
  <c r="BM1014" i="1"/>
  <c r="BN1015" i="1" l="1"/>
  <c r="BK1016" i="1"/>
  <c r="BM1015" i="1"/>
  <c r="BN1016" i="1" l="1"/>
  <c r="BK1017" i="1"/>
  <c r="BM1016" i="1"/>
  <c r="BN1017" i="1" l="1"/>
  <c r="BK1018" i="1"/>
  <c r="BM1017" i="1"/>
  <c r="BN1018" i="1" l="1"/>
  <c r="BK1019" i="1"/>
  <c r="BM1018" i="1"/>
  <c r="BN1019" i="1" l="1"/>
  <c r="BK1020" i="1"/>
  <c r="BM1019" i="1"/>
  <c r="BK1021" i="1" l="1"/>
  <c r="BN1020" i="1"/>
  <c r="BM1020" i="1"/>
  <c r="BK1022" i="1" l="1"/>
  <c r="BN1021" i="1"/>
  <c r="BM1021" i="1"/>
  <c r="BN1022" i="1" l="1"/>
  <c r="BK1023" i="1"/>
  <c r="BM1022" i="1"/>
  <c r="BK1024" i="1" l="1"/>
  <c r="BN1023" i="1"/>
  <c r="BM1023" i="1"/>
  <c r="BN1024" i="1" l="1"/>
  <c r="BK1025" i="1"/>
  <c r="BM1024" i="1"/>
  <c r="BK1026" i="1" l="1"/>
  <c r="BN1025" i="1"/>
  <c r="BM1025" i="1"/>
  <c r="BN1026" i="1" l="1"/>
  <c r="BK1027" i="1"/>
  <c r="BM1026" i="1"/>
  <c r="BN1027" i="1" l="1"/>
  <c r="BK1028" i="1"/>
  <c r="BM1027" i="1"/>
  <c r="BK1029" i="1" l="1"/>
  <c r="BN1028" i="1"/>
  <c r="BM1028" i="1"/>
  <c r="BK1030" i="1" l="1"/>
  <c r="BN1029" i="1"/>
  <c r="BM1029" i="1"/>
  <c r="BN1030" i="1" l="1"/>
  <c r="BK1031" i="1"/>
  <c r="BM1030" i="1"/>
  <c r="BK1032" i="1" l="1"/>
  <c r="BN1031" i="1"/>
  <c r="BM1031" i="1"/>
  <c r="BN1032" i="1" l="1"/>
  <c r="BK1033" i="1"/>
  <c r="BM1032" i="1"/>
  <c r="BK1034" i="1" l="1"/>
  <c r="BN1033" i="1"/>
  <c r="BM1033" i="1"/>
  <c r="BN1034" i="1" l="1"/>
  <c r="BK1035" i="1"/>
  <c r="BM1034" i="1"/>
  <c r="BN1035" i="1" l="1"/>
  <c r="BK1036" i="1"/>
  <c r="BM1035" i="1"/>
  <c r="BN1036" i="1" l="1"/>
  <c r="BK1037" i="1"/>
  <c r="BM1036" i="1"/>
  <c r="BN1037" i="1" l="1"/>
  <c r="BK1038" i="1"/>
  <c r="BM1037" i="1"/>
  <c r="BN1038" i="1" l="1"/>
  <c r="BK1039" i="1"/>
  <c r="BM1038" i="1"/>
  <c r="BN1039" i="1" l="1"/>
  <c r="BK1040" i="1"/>
  <c r="BM1039" i="1"/>
  <c r="BN1040" i="1" l="1"/>
  <c r="BK1041" i="1"/>
  <c r="BM1040" i="1"/>
  <c r="BN1041" i="1" l="1"/>
  <c r="BK1042" i="1"/>
  <c r="BM1041" i="1"/>
  <c r="BN1042" i="1" l="1"/>
  <c r="BK1043" i="1"/>
  <c r="BM1042" i="1"/>
  <c r="BN1043" i="1" l="1"/>
  <c r="BK1044" i="1"/>
  <c r="BM1043" i="1"/>
  <c r="BN1044" i="1" l="1"/>
  <c r="BK1045" i="1"/>
  <c r="BM1044" i="1"/>
  <c r="BN1045" i="1" l="1"/>
  <c r="BK1046" i="1"/>
  <c r="BM1045" i="1"/>
  <c r="BN1046" i="1" l="1"/>
  <c r="BK1047" i="1"/>
  <c r="BM1046" i="1"/>
  <c r="BN1047" i="1" l="1"/>
  <c r="BK1048" i="1"/>
  <c r="BM1047" i="1"/>
  <c r="BN1048" i="1" l="1"/>
  <c r="BK1049" i="1"/>
  <c r="BM1048" i="1"/>
  <c r="BN1049" i="1" l="1"/>
  <c r="BK1050" i="1"/>
  <c r="BM1049" i="1"/>
  <c r="BN1050" i="1" l="1"/>
  <c r="BK1051" i="1"/>
  <c r="BM1050" i="1"/>
  <c r="BN1051" i="1" l="1"/>
  <c r="BK1052" i="1"/>
  <c r="BM1051" i="1"/>
  <c r="BN1052" i="1" l="1"/>
  <c r="BK1053" i="1"/>
  <c r="BM1052" i="1"/>
  <c r="BN1053" i="1" l="1"/>
  <c r="BK1054" i="1"/>
  <c r="BM1053" i="1"/>
  <c r="BN1054" i="1" l="1"/>
  <c r="BK1055" i="1"/>
  <c r="BM1054" i="1"/>
  <c r="BK1056" i="1" l="1"/>
  <c r="BN1055" i="1"/>
  <c r="BM1055" i="1"/>
  <c r="BN1056" i="1" l="1"/>
  <c r="BK1057" i="1"/>
  <c r="BM1056" i="1"/>
  <c r="BN1057" i="1" l="1"/>
  <c r="BK1058" i="1"/>
  <c r="BM1057" i="1"/>
  <c r="BN1058" i="1" l="1"/>
  <c r="BK1059" i="1"/>
  <c r="BM1058" i="1"/>
  <c r="BN1059" i="1" l="1"/>
  <c r="BK1060" i="1"/>
  <c r="BM1059" i="1"/>
  <c r="BK1061" i="1" l="1"/>
  <c r="BN1060" i="1"/>
  <c r="BM1060" i="1"/>
  <c r="BK1062" i="1" l="1"/>
  <c r="BN1061" i="1"/>
  <c r="BM1061" i="1"/>
  <c r="BK1063" i="1" l="1"/>
  <c r="BN1062" i="1"/>
  <c r="BM1062" i="1"/>
  <c r="BN1063" i="1" l="1"/>
  <c r="BK1064" i="1"/>
  <c r="BM1063" i="1"/>
  <c r="BK1065" i="1" l="1"/>
  <c r="BN1064" i="1"/>
  <c r="BM1064" i="1"/>
  <c r="BN1065" i="1" l="1"/>
  <c r="BK1066" i="1"/>
  <c r="BM1065" i="1"/>
  <c r="BN1066" i="1" l="1"/>
  <c r="BK1067" i="1"/>
  <c r="BM1066" i="1"/>
  <c r="BN1067" i="1" l="1"/>
  <c r="BK1068" i="1"/>
  <c r="BM1067" i="1"/>
  <c r="BN1068" i="1" l="1"/>
  <c r="BK1069" i="1"/>
  <c r="BM1068" i="1"/>
  <c r="BK1070" i="1" l="1"/>
  <c r="BN1069" i="1"/>
  <c r="BM1069" i="1"/>
  <c r="BN1070" i="1" l="1"/>
  <c r="BK1071" i="1"/>
  <c r="BM1070" i="1"/>
  <c r="BK1072" i="1" l="1"/>
  <c r="BN1071" i="1"/>
  <c r="BM1071" i="1"/>
  <c r="BK1073" i="1" l="1"/>
  <c r="BN1072" i="1"/>
  <c r="BM1072" i="1"/>
  <c r="BK1074" i="1" l="1"/>
  <c r="BN1073" i="1"/>
  <c r="BM1073" i="1"/>
  <c r="BN1074" i="1" l="1"/>
  <c r="BK1075" i="1"/>
  <c r="BM1074" i="1"/>
  <c r="BN1075" i="1" l="1"/>
  <c r="BK1076" i="1"/>
  <c r="BM1075" i="1"/>
  <c r="BN1076" i="1" l="1"/>
  <c r="BK1077" i="1"/>
  <c r="BM1076" i="1"/>
  <c r="BN1077" i="1" l="1"/>
  <c r="BK1078" i="1"/>
  <c r="BM1077" i="1"/>
  <c r="BK1079" i="1" l="1"/>
  <c r="BN1078" i="1"/>
  <c r="BM1078" i="1"/>
  <c r="BN1079" i="1" l="1"/>
  <c r="BK1080" i="1"/>
  <c r="BM1079" i="1"/>
  <c r="BK1081" i="1" l="1"/>
  <c r="BN1080" i="1"/>
  <c r="BM1080" i="1"/>
  <c r="BN1081" i="1" l="1"/>
  <c r="BK1082" i="1"/>
  <c r="BM1081" i="1"/>
  <c r="BK1083" i="1" l="1"/>
  <c r="BN1082" i="1"/>
  <c r="BM1082" i="1"/>
  <c r="BN1083" i="1" l="1"/>
  <c r="BK1084" i="1"/>
  <c r="BM1083" i="1"/>
  <c r="BK1085" i="1" l="1"/>
  <c r="BN1084" i="1"/>
  <c r="BM1084" i="1"/>
  <c r="BK1086" i="1" l="1"/>
  <c r="BN1085" i="1"/>
  <c r="BM1085" i="1"/>
  <c r="BN1086" i="1" l="1"/>
  <c r="BK1087" i="1"/>
  <c r="BM1086" i="1"/>
  <c r="BK1088" i="1" l="1"/>
  <c r="BN1087" i="1"/>
  <c r="BM1087" i="1"/>
  <c r="BN1088" i="1" l="1"/>
  <c r="BK1089" i="1"/>
  <c r="BM1088" i="1"/>
  <c r="BK1090" i="1" l="1"/>
  <c r="BN1089" i="1"/>
  <c r="BM1089" i="1"/>
  <c r="BK1091" i="1" l="1"/>
  <c r="BN1090" i="1"/>
  <c r="BM1090" i="1"/>
  <c r="BK1092" i="1" l="1"/>
  <c r="BN1091" i="1"/>
  <c r="BM1091" i="1"/>
  <c r="BN1092" i="1" l="1"/>
  <c r="BK1093" i="1"/>
  <c r="BM1092" i="1"/>
  <c r="BK1094" i="1" l="1"/>
  <c r="BN1093" i="1"/>
  <c r="BM1093" i="1"/>
  <c r="BN1094" i="1" l="1"/>
  <c r="BK1095" i="1"/>
  <c r="BM1094" i="1"/>
  <c r="BK1096" i="1" l="1"/>
  <c r="BN1095" i="1"/>
  <c r="BM1095" i="1"/>
  <c r="BN1096" i="1" l="1"/>
  <c r="BK1097" i="1"/>
  <c r="BM1096" i="1"/>
  <c r="BN1097" i="1" l="1"/>
  <c r="BK1098" i="1"/>
  <c r="BM1097" i="1"/>
  <c r="BN1098" i="1" l="1"/>
  <c r="BK1099" i="1"/>
  <c r="BM1098" i="1"/>
  <c r="BN1099" i="1" l="1"/>
  <c r="BK1100" i="1"/>
  <c r="BM1099" i="1"/>
  <c r="BN1100" i="1" l="1"/>
  <c r="BK1101" i="1"/>
  <c r="BM1100" i="1"/>
  <c r="BN1101" i="1" l="1"/>
  <c r="BK1102" i="1"/>
  <c r="BM1101" i="1"/>
  <c r="BN1102" i="1" l="1"/>
  <c r="BK1103" i="1"/>
  <c r="BM1102" i="1"/>
  <c r="BN1103" i="1" l="1"/>
  <c r="BK1104" i="1"/>
  <c r="BM1103" i="1"/>
  <c r="BN1104" i="1" l="1"/>
  <c r="BK1105" i="1"/>
  <c r="BM1104" i="1"/>
  <c r="BK1106" i="1" l="1"/>
  <c r="BN1105" i="1"/>
  <c r="BM1105" i="1"/>
  <c r="BN1106" i="1" l="1"/>
  <c r="BK1107" i="1"/>
  <c r="BM1106" i="1"/>
  <c r="BN1107" i="1" l="1"/>
  <c r="BK1108" i="1"/>
  <c r="BM1107" i="1"/>
  <c r="BN1108" i="1" l="1"/>
  <c r="BK1109" i="1"/>
  <c r="BM1108" i="1"/>
  <c r="BK1110" i="1" l="1"/>
  <c r="BN1109" i="1"/>
  <c r="BM1109" i="1"/>
  <c r="BN1110" i="1" l="1"/>
  <c r="BK1111" i="1"/>
  <c r="BM1110" i="1"/>
  <c r="BN1111" i="1" l="1"/>
  <c r="BK1112" i="1"/>
  <c r="BM1111" i="1"/>
  <c r="BN1112" i="1" l="1"/>
  <c r="BK1113" i="1"/>
  <c r="BM1112" i="1"/>
  <c r="BK1114" i="1" l="1"/>
  <c r="BN1113" i="1"/>
  <c r="BM1113" i="1"/>
  <c r="BN1114" i="1" l="1"/>
  <c r="BK1115" i="1"/>
  <c r="BM1114" i="1"/>
  <c r="BK1116" i="1" l="1"/>
  <c r="BN1115" i="1"/>
  <c r="BM1115" i="1"/>
  <c r="BN1116" i="1" l="1"/>
  <c r="BK1117" i="1"/>
  <c r="BM1116" i="1"/>
  <c r="BN1117" i="1" l="1"/>
  <c r="BK1118" i="1"/>
  <c r="BM1117" i="1"/>
  <c r="BN1118" i="1" l="1"/>
  <c r="BK1119" i="1"/>
  <c r="BM1118" i="1"/>
  <c r="BN1119" i="1" l="1"/>
  <c r="BK1120" i="1"/>
  <c r="BM1119" i="1"/>
  <c r="BK1121" i="1" l="1"/>
  <c r="BN1120" i="1"/>
  <c r="BM1120" i="1"/>
  <c r="BK1122" i="1" l="1"/>
  <c r="BN1121" i="1"/>
  <c r="BM1121" i="1"/>
  <c r="BN1122" i="1" l="1"/>
  <c r="BK1123" i="1"/>
  <c r="BM1122" i="1"/>
  <c r="BK1124" i="1" l="1"/>
  <c r="BN1123" i="1"/>
  <c r="BM1123" i="1"/>
  <c r="BN1124" i="1" l="1"/>
  <c r="BK1125" i="1"/>
  <c r="BM1124" i="1"/>
  <c r="BN1125" i="1" l="1"/>
  <c r="BK1126" i="1"/>
  <c r="BM1125" i="1"/>
  <c r="BK1127" i="1" l="1"/>
  <c r="BN1126" i="1"/>
  <c r="BM1126" i="1"/>
  <c r="BN1127" i="1" l="1"/>
  <c r="BK1128" i="1"/>
  <c r="BM1127" i="1"/>
  <c r="BN1128" i="1" l="1"/>
  <c r="BK1129" i="1"/>
  <c r="BM1128" i="1"/>
  <c r="BN1129" i="1" l="1"/>
  <c r="BK1130" i="1"/>
  <c r="BM1129" i="1"/>
  <c r="BN1130" i="1" l="1"/>
  <c r="BK1131" i="1"/>
  <c r="BM1130" i="1"/>
  <c r="BN1131" i="1" l="1"/>
  <c r="BK1132" i="1"/>
  <c r="BM1131" i="1"/>
  <c r="BN1132" i="1" l="1"/>
  <c r="BK1133" i="1"/>
  <c r="BM1132" i="1"/>
  <c r="BN1133" i="1" l="1"/>
  <c r="BK1134" i="1"/>
  <c r="BM1133" i="1"/>
  <c r="BN1134" i="1" l="1"/>
  <c r="BK1135" i="1"/>
  <c r="BM1134" i="1"/>
  <c r="BK1136" i="1" l="1"/>
  <c r="BN1135" i="1"/>
  <c r="BM1135" i="1"/>
  <c r="BN1136" i="1" l="1"/>
  <c r="BK1137" i="1"/>
  <c r="BM1136" i="1"/>
  <c r="BN1137" i="1" l="1"/>
  <c r="BK1138" i="1"/>
  <c r="BM1137" i="1"/>
  <c r="BK1139" i="1" l="1"/>
  <c r="BN1138" i="1"/>
  <c r="BM1138" i="1"/>
  <c r="BK1140" i="1" l="1"/>
  <c r="BN1139" i="1"/>
  <c r="BM1139" i="1"/>
  <c r="BK1141" i="1" l="1"/>
  <c r="BN1140" i="1"/>
  <c r="BM1140" i="1"/>
  <c r="BN1141" i="1" l="1"/>
  <c r="BK1142" i="1"/>
  <c r="BM1141" i="1"/>
  <c r="BN1142" i="1" l="1"/>
  <c r="BK1143" i="1"/>
  <c r="BM1142" i="1"/>
  <c r="BK1144" i="1" l="1"/>
  <c r="BN1143" i="1"/>
  <c r="BM1143" i="1"/>
  <c r="BN1144" i="1" l="1"/>
  <c r="BK1145" i="1"/>
  <c r="BM1144" i="1"/>
  <c r="BN1145" i="1" l="1"/>
  <c r="BK1146" i="1"/>
  <c r="BM1145" i="1"/>
  <c r="BN1146" i="1" l="1"/>
  <c r="BK1147" i="1"/>
  <c r="BM1146" i="1"/>
  <c r="BN1147" i="1" l="1"/>
  <c r="BK1148" i="1"/>
  <c r="BM1147" i="1"/>
  <c r="BK1149" i="1" l="1"/>
  <c r="BN1148" i="1"/>
  <c r="BM1148" i="1"/>
  <c r="BN1149" i="1" l="1"/>
  <c r="BK1150" i="1"/>
  <c r="BM1149" i="1"/>
  <c r="BN1150" i="1" l="1"/>
  <c r="BK1151" i="1"/>
  <c r="BM1150" i="1"/>
  <c r="BK1152" i="1" l="1"/>
  <c r="BN1151" i="1"/>
  <c r="BM1151" i="1"/>
  <c r="BN1152" i="1" l="1"/>
  <c r="BK1153" i="1"/>
  <c r="BM1152" i="1"/>
  <c r="BN1153" i="1" l="1"/>
  <c r="BK1154" i="1"/>
  <c r="BM1153" i="1"/>
  <c r="BN1154" i="1" l="1"/>
  <c r="BK1155" i="1"/>
  <c r="BM1154" i="1"/>
  <c r="BK1156" i="1" l="1"/>
  <c r="BN1155" i="1"/>
  <c r="BM1155" i="1"/>
  <c r="BN1156" i="1" l="1"/>
  <c r="BK1157" i="1"/>
  <c r="BM1156" i="1"/>
  <c r="BN1157" i="1" l="1"/>
  <c r="BK1158" i="1"/>
  <c r="BM1157" i="1"/>
  <c r="BN1158" i="1" l="1"/>
  <c r="BK1159" i="1"/>
  <c r="BM1158" i="1"/>
  <c r="BN1159" i="1" l="1"/>
  <c r="BK1160" i="1"/>
  <c r="BM1159" i="1"/>
  <c r="BN1160" i="1" l="1"/>
  <c r="BK1161" i="1"/>
  <c r="BM1160" i="1"/>
  <c r="BN1161" i="1" l="1"/>
  <c r="BK1162" i="1"/>
  <c r="BM1161" i="1"/>
  <c r="BN1162" i="1" l="1"/>
  <c r="BK1163" i="1"/>
  <c r="BM1162" i="1"/>
  <c r="BK1164" i="1" l="1"/>
  <c r="BN1163" i="1"/>
  <c r="BM1163" i="1"/>
  <c r="BK1165" i="1" l="1"/>
  <c r="BN1164" i="1"/>
  <c r="BM1164" i="1"/>
  <c r="BN1165" i="1" l="1"/>
  <c r="BK1166" i="1"/>
  <c r="BM1165" i="1"/>
  <c r="BN1166" i="1" l="1"/>
  <c r="BK1167" i="1"/>
  <c r="BM1166" i="1"/>
  <c r="BK1168" i="1" l="1"/>
  <c r="BN1167" i="1"/>
  <c r="BM1167" i="1"/>
  <c r="BN1168" i="1" l="1"/>
  <c r="BK1169" i="1"/>
  <c r="BM1168" i="1"/>
  <c r="BK1170" i="1" l="1"/>
  <c r="BN1169" i="1"/>
  <c r="BM1169" i="1"/>
  <c r="BN1170" i="1" l="1"/>
  <c r="BK1171" i="1"/>
  <c r="BM1170" i="1"/>
  <c r="BK1172" i="1" l="1"/>
  <c r="BN1171" i="1"/>
  <c r="BM1171" i="1"/>
  <c r="BK1173" i="1" l="1"/>
  <c r="BN1172" i="1"/>
  <c r="BM1172" i="1"/>
  <c r="BN1173" i="1" l="1"/>
  <c r="BK1174" i="1"/>
  <c r="BM1173" i="1"/>
  <c r="BK1175" i="1" l="1"/>
  <c r="BN1174" i="1"/>
  <c r="BM1174" i="1"/>
  <c r="BN1175" i="1" l="1"/>
  <c r="BK1176" i="1"/>
  <c r="BM1175" i="1"/>
  <c r="BN1176" i="1" l="1"/>
  <c r="BK1177" i="1"/>
  <c r="BM1176" i="1"/>
  <c r="BK1178" i="1" l="1"/>
  <c r="BN1177" i="1"/>
  <c r="BM1177" i="1"/>
  <c r="BN1178" i="1" l="1"/>
  <c r="BK1179" i="1"/>
  <c r="BM1178" i="1"/>
  <c r="BK1180" i="1" l="1"/>
  <c r="BN1179" i="1"/>
  <c r="BM1179" i="1"/>
  <c r="BN1180" i="1" l="1"/>
  <c r="BK1181" i="1"/>
  <c r="BM1180" i="1"/>
  <c r="BN1181" i="1" l="1"/>
  <c r="BK1182" i="1"/>
  <c r="BM1181" i="1"/>
  <c r="BN1182" i="1" l="1"/>
  <c r="BK1183" i="1"/>
  <c r="BM1182" i="1"/>
  <c r="BK1184" i="1" l="1"/>
  <c r="BN1183" i="1"/>
  <c r="BM1183" i="1"/>
  <c r="BK1185" i="1" l="1"/>
  <c r="BN1184" i="1"/>
  <c r="BM1184" i="1"/>
  <c r="BN1185" i="1" l="1"/>
  <c r="BK1186" i="1"/>
  <c r="BM1185" i="1"/>
  <c r="BN1186" i="1" l="1"/>
  <c r="BK1187" i="1"/>
  <c r="BM1186" i="1"/>
  <c r="BN1187" i="1" l="1"/>
  <c r="BK1188" i="1"/>
  <c r="BM1187" i="1"/>
  <c r="BN1188" i="1" l="1"/>
  <c r="BK1189" i="1"/>
  <c r="BM1188" i="1"/>
  <c r="BN1189" i="1" l="1"/>
  <c r="BK1190" i="1"/>
  <c r="BM1189" i="1"/>
  <c r="BN1190" i="1" l="1"/>
  <c r="BK1191" i="1"/>
  <c r="BM1190" i="1"/>
  <c r="BN1191" i="1" l="1"/>
  <c r="BK1192" i="1"/>
  <c r="BM1191" i="1"/>
  <c r="BN1192" i="1" l="1"/>
  <c r="BK1193" i="1"/>
  <c r="BM1192" i="1"/>
  <c r="BN1193" i="1" l="1"/>
  <c r="BK1194" i="1"/>
  <c r="BM1193" i="1"/>
  <c r="BK1195" i="1" l="1"/>
  <c r="BN1194" i="1"/>
  <c r="BM1194" i="1"/>
  <c r="BN1195" i="1" l="1"/>
  <c r="BK1196" i="1"/>
  <c r="BM1195" i="1"/>
  <c r="BN1196" i="1" l="1"/>
  <c r="BK1197" i="1"/>
  <c r="BM1196" i="1"/>
  <c r="BK1198" i="1" l="1"/>
  <c r="BN1197" i="1"/>
  <c r="BM1197" i="1"/>
  <c r="BK1199" i="1" l="1"/>
  <c r="BN1198" i="1"/>
  <c r="BM1198" i="1"/>
  <c r="BN1199" i="1" l="1"/>
  <c r="BK1200" i="1"/>
  <c r="BM1199" i="1"/>
  <c r="BN1200" i="1" l="1"/>
  <c r="BK1201" i="1"/>
  <c r="BM1200" i="1"/>
  <c r="BK1202" i="1" l="1"/>
  <c r="BN1201" i="1"/>
  <c r="BM1201" i="1"/>
  <c r="BN1202" i="1" l="1"/>
  <c r="BK1203" i="1"/>
  <c r="BM1202" i="1"/>
  <c r="BN1203" i="1" l="1"/>
  <c r="BK1204" i="1"/>
  <c r="BM1203" i="1"/>
  <c r="BK1205" i="1" l="1"/>
  <c r="BN1204" i="1"/>
  <c r="BM1204" i="1"/>
  <c r="BN1205" i="1" l="1"/>
  <c r="BK1206" i="1"/>
  <c r="BM1205" i="1"/>
  <c r="BN1206" i="1" l="1"/>
  <c r="BK1207" i="1"/>
  <c r="BM1206" i="1"/>
  <c r="BN1207" i="1" l="1"/>
  <c r="BK1208" i="1"/>
  <c r="BM1207" i="1"/>
  <c r="BN1208" i="1" l="1"/>
  <c r="BK1209" i="1"/>
  <c r="BM1208" i="1"/>
  <c r="BN1209" i="1" l="1"/>
  <c r="BK1210" i="1"/>
  <c r="BM1209" i="1"/>
  <c r="BK1211" i="1" l="1"/>
  <c r="BN1210" i="1"/>
  <c r="BM1210" i="1"/>
  <c r="BN1211" i="1" l="1"/>
  <c r="BK1212" i="1"/>
  <c r="BM1211" i="1"/>
  <c r="BK1213" i="1" l="1"/>
  <c r="BN1212" i="1"/>
  <c r="BM1212" i="1"/>
  <c r="BN1213" i="1" l="1"/>
  <c r="BK1214" i="1"/>
  <c r="BM1213" i="1"/>
  <c r="BK1215" i="1" l="1"/>
  <c r="BN1214" i="1"/>
  <c r="BM1214" i="1"/>
  <c r="BK1216" i="1" l="1"/>
  <c r="BN1215" i="1"/>
  <c r="BM1215" i="1"/>
  <c r="BN1216" i="1" l="1"/>
  <c r="BK1217" i="1"/>
  <c r="BM1216" i="1"/>
  <c r="BK1218" i="1" l="1"/>
  <c r="BN1217" i="1"/>
  <c r="BM1217" i="1"/>
  <c r="BN1218" i="1" l="1"/>
  <c r="BK1219" i="1"/>
  <c r="BM1218" i="1"/>
  <c r="BK1220" i="1" l="1"/>
  <c r="BN1219" i="1"/>
  <c r="BM1219" i="1"/>
  <c r="BN1220" i="1" l="1"/>
  <c r="BK1221" i="1"/>
  <c r="BM1220" i="1"/>
  <c r="BN1221" i="1" l="1"/>
  <c r="BK1222" i="1"/>
  <c r="BM1221" i="1"/>
  <c r="BN1222" i="1" l="1"/>
  <c r="BK1223" i="1"/>
  <c r="BM1222" i="1"/>
  <c r="BK1224" i="1" l="1"/>
  <c r="BN1223" i="1"/>
  <c r="BM1223" i="1"/>
  <c r="BN1224" i="1" l="1"/>
  <c r="BK1225" i="1"/>
  <c r="BM1224" i="1"/>
  <c r="BK1226" i="1" l="1"/>
  <c r="BN1225" i="1"/>
  <c r="BM1225" i="1"/>
  <c r="BK1227" i="1" l="1"/>
  <c r="BN1226" i="1"/>
  <c r="BM1226" i="1"/>
  <c r="BN1227" i="1" l="1"/>
  <c r="BK1228" i="1"/>
  <c r="BM1227" i="1"/>
  <c r="BK1229" i="1" l="1"/>
  <c r="BN1228" i="1"/>
  <c r="BM1228" i="1"/>
  <c r="BK1230" i="1" l="1"/>
  <c r="BN1229" i="1"/>
  <c r="BM1229" i="1"/>
  <c r="BN1230" i="1" l="1"/>
  <c r="BK1231" i="1"/>
  <c r="BM1230" i="1"/>
  <c r="BK1232" i="1" l="1"/>
  <c r="BN1231" i="1"/>
  <c r="BM1231" i="1"/>
  <c r="BN1232" i="1" l="1"/>
  <c r="BK1233" i="1"/>
  <c r="BM1232" i="1"/>
  <c r="BN1233" i="1" l="1"/>
  <c r="BK1234" i="1"/>
  <c r="BM1233" i="1"/>
  <c r="BN1234" i="1" l="1"/>
  <c r="BK1235" i="1"/>
  <c r="BM1234" i="1"/>
  <c r="BK1236" i="1" l="1"/>
  <c r="BN1235" i="1"/>
  <c r="BM1235" i="1"/>
  <c r="BN1236" i="1" l="1"/>
  <c r="BK1237" i="1"/>
  <c r="BM1236" i="1"/>
  <c r="BN1237" i="1" l="1"/>
  <c r="BK1238" i="1"/>
  <c r="BM1237" i="1"/>
  <c r="BN1238" i="1" l="1"/>
  <c r="BK1239" i="1"/>
  <c r="BM1238" i="1"/>
  <c r="BN1239" i="1" l="1"/>
  <c r="BK1240" i="1"/>
  <c r="BM1239" i="1"/>
  <c r="BN1240" i="1" l="1"/>
  <c r="BK1241" i="1"/>
  <c r="BM1240" i="1"/>
  <c r="BN1241" i="1" l="1"/>
  <c r="BK1242" i="1"/>
  <c r="BM1241" i="1"/>
  <c r="BN1242" i="1" l="1"/>
  <c r="BK1243" i="1"/>
  <c r="BM1242" i="1"/>
  <c r="BN1243" i="1" l="1"/>
  <c r="BK1244" i="1"/>
  <c r="BM1243" i="1"/>
  <c r="BN1244" i="1" l="1"/>
  <c r="BK1245" i="1"/>
  <c r="BM1244" i="1"/>
  <c r="BK1246" i="1" l="1"/>
  <c r="BN1245" i="1"/>
  <c r="BM1245" i="1"/>
  <c r="BN1246" i="1" l="1"/>
  <c r="BK1247" i="1"/>
  <c r="BM1246" i="1"/>
  <c r="BK1248" i="1" l="1"/>
  <c r="BN1247" i="1"/>
  <c r="BM1247" i="1"/>
  <c r="BN1248" i="1" l="1"/>
  <c r="BK1249" i="1"/>
  <c r="BM1248" i="1"/>
  <c r="BN1249" i="1" l="1"/>
  <c r="BK1250" i="1"/>
  <c r="BM1249" i="1"/>
  <c r="BN1250" i="1" l="1"/>
  <c r="BK1251" i="1"/>
  <c r="BM1250" i="1"/>
  <c r="BN1251" i="1" l="1"/>
  <c r="BK1252" i="1"/>
  <c r="BM1251" i="1"/>
  <c r="BN1252" i="1" l="1"/>
  <c r="BK1253" i="1"/>
  <c r="BM1252" i="1"/>
  <c r="BN1253" i="1" l="1"/>
  <c r="BK1254" i="1"/>
  <c r="BM1253" i="1"/>
  <c r="BN1254" i="1" l="1"/>
  <c r="BK1255" i="1"/>
  <c r="BM1254" i="1"/>
  <c r="BN1255" i="1" l="1"/>
  <c r="BK1256" i="1"/>
  <c r="BM1255" i="1"/>
  <c r="BN1256" i="1" l="1"/>
  <c r="BK1257" i="1"/>
  <c r="BM1256" i="1"/>
  <c r="BK1258" i="1" l="1"/>
  <c r="BN1257" i="1"/>
  <c r="BM1257" i="1"/>
  <c r="BK1259" i="1" l="1"/>
  <c r="BN1258" i="1"/>
  <c r="BM1258" i="1"/>
  <c r="BN1259" i="1" l="1"/>
  <c r="BK1260" i="1"/>
  <c r="BM1259" i="1"/>
  <c r="BK1261" i="1" l="1"/>
  <c r="BN1260" i="1"/>
  <c r="BM1260" i="1"/>
  <c r="BN1261" i="1" l="1"/>
  <c r="BK1262" i="1"/>
  <c r="BM1261" i="1"/>
  <c r="BN1262" i="1" l="1"/>
  <c r="BK1263" i="1"/>
  <c r="BM1262" i="1"/>
  <c r="BK1264" i="1" l="1"/>
  <c r="BN1263" i="1"/>
  <c r="BM1263" i="1"/>
  <c r="BN1264" i="1" l="1"/>
  <c r="BK1265" i="1"/>
  <c r="BM1264" i="1"/>
  <c r="BN1265" i="1" l="1"/>
  <c r="BK1266" i="1"/>
  <c r="BM1265" i="1"/>
  <c r="BN1266" i="1" l="1"/>
  <c r="BK1267" i="1"/>
  <c r="BM1266" i="1"/>
  <c r="BN1267" i="1" l="1"/>
  <c r="BK1268" i="1"/>
  <c r="BM1267" i="1"/>
  <c r="BN1268" i="1" l="1"/>
  <c r="BK1269" i="1"/>
  <c r="BM1268" i="1"/>
  <c r="BK1270" i="1" l="1"/>
  <c r="BN1269" i="1"/>
  <c r="BM1269" i="1"/>
  <c r="BK1271" i="1" l="1"/>
  <c r="BN1270" i="1"/>
  <c r="BM1270" i="1"/>
  <c r="BK1272" i="1" l="1"/>
  <c r="BN1271" i="1"/>
  <c r="BM1271" i="1"/>
  <c r="BN1272" i="1" l="1"/>
  <c r="BK1273" i="1"/>
  <c r="BM1272" i="1"/>
  <c r="BK1274" i="1" l="1"/>
  <c r="BN1273" i="1"/>
  <c r="BM1273" i="1"/>
  <c r="BN1274" i="1" l="1"/>
  <c r="BK1275" i="1"/>
  <c r="BM1274" i="1"/>
  <c r="BN1275" i="1" l="1"/>
  <c r="BK1276" i="1"/>
  <c r="BM1275" i="1"/>
  <c r="BK1277" i="1" l="1"/>
  <c r="BN1276" i="1"/>
  <c r="BM1276" i="1"/>
  <c r="BN1277" i="1" l="1"/>
  <c r="BK1278" i="1"/>
  <c r="BM1277" i="1"/>
  <c r="BK1279" i="1" l="1"/>
  <c r="BN1278" i="1"/>
  <c r="BM1278" i="1"/>
  <c r="BN1279" i="1" l="1"/>
  <c r="BK1280" i="1"/>
  <c r="BM1279" i="1"/>
  <c r="BN1280" i="1" l="1"/>
  <c r="BK1281" i="1"/>
  <c r="BM1280" i="1"/>
  <c r="BN1281" i="1" l="1"/>
  <c r="BK1282" i="1"/>
  <c r="BM1281" i="1"/>
  <c r="BK1283" i="1" l="1"/>
  <c r="BN1282" i="1"/>
  <c r="BM1282" i="1"/>
  <c r="BN1283" i="1" l="1"/>
  <c r="BK1284" i="1"/>
  <c r="BM1283" i="1"/>
  <c r="BN1284" i="1" l="1"/>
  <c r="BK1285" i="1"/>
  <c r="BM1284" i="1"/>
  <c r="BK1286" i="1" l="1"/>
  <c r="BN1285" i="1"/>
  <c r="BM1285" i="1"/>
  <c r="BK1287" i="1" l="1"/>
  <c r="BN1286" i="1"/>
  <c r="BM1286" i="1"/>
  <c r="BK1288" i="1" l="1"/>
  <c r="BN1287" i="1"/>
  <c r="BM1287" i="1"/>
  <c r="BK1289" i="1" l="1"/>
  <c r="BN1288" i="1"/>
  <c r="BM1288" i="1"/>
  <c r="BK1290" i="1" l="1"/>
  <c r="BN1289" i="1"/>
  <c r="BM1289" i="1"/>
  <c r="BN1290" i="1" l="1"/>
  <c r="BK1291" i="1"/>
  <c r="BM1290" i="1"/>
  <c r="BN1291" i="1" l="1"/>
  <c r="BK1292" i="1"/>
  <c r="BM1291" i="1"/>
  <c r="BN1292" i="1" l="1"/>
  <c r="BK1293" i="1"/>
  <c r="BM1292" i="1"/>
  <c r="BN1293" i="1" l="1"/>
  <c r="BK1294" i="1"/>
  <c r="BM1293" i="1"/>
  <c r="BN1294" i="1" l="1"/>
  <c r="BK1295" i="1"/>
  <c r="BM1294" i="1"/>
  <c r="BN1295" i="1" l="1"/>
  <c r="BK1296" i="1"/>
  <c r="BM1295" i="1"/>
  <c r="BN1296" i="1" l="1"/>
  <c r="BK1297" i="1"/>
  <c r="BM1296" i="1"/>
  <c r="BK1298" i="1" l="1"/>
  <c r="BN1297" i="1"/>
  <c r="BM1297" i="1"/>
  <c r="BK1299" i="1" l="1"/>
  <c r="BN1298" i="1"/>
  <c r="BM1298" i="1"/>
  <c r="BK1300" i="1" l="1"/>
  <c r="BN1299" i="1"/>
  <c r="BM1299" i="1"/>
  <c r="BN1300" i="1" l="1"/>
  <c r="BK1301" i="1"/>
  <c r="BM1300" i="1"/>
  <c r="BK1302" i="1" l="1"/>
  <c r="BN1301" i="1"/>
  <c r="BM1301" i="1"/>
  <c r="BN1302" i="1" l="1"/>
  <c r="BK1303" i="1"/>
  <c r="BM1302" i="1"/>
  <c r="BK1304" i="1" l="1"/>
  <c r="BN1303" i="1"/>
  <c r="BM1303" i="1"/>
  <c r="BN1304" i="1" l="1"/>
  <c r="BK1305" i="1"/>
  <c r="BM1304" i="1"/>
  <c r="BN1305" i="1" l="1"/>
  <c r="BK1306" i="1"/>
  <c r="BM1305" i="1"/>
  <c r="BN1306" i="1" l="1"/>
  <c r="BK1307" i="1"/>
  <c r="BM1306" i="1"/>
  <c r="BK1308" i="1" l="1"/>
  <c r="BN1307" i="1"/>
  <c r="BM1307" i="1"/>
  <c r="BN1308" i="1" l="1"/>
  <c r="BK1309" i="1"/>
  <c r="BM1308" i="1"/>
  <c r="BK1310" i="1" l="1"/>
  <c r="BN1309" i="1"/>
  <c r="BM1309" i="1"/>
  <c r="BN1310" i="1" l="1"/>
  <c r="BK1311" i="1"/>
  <c r="BM1310" i="1"/>
  <c r="BK1312" i="1" l="1"/>
  <c r="BN1311" i="1"/>
  <c r="BM1311" i="1"/>
  <c r="BK1313" i="1" l="1"/>
  <c r="BN1312" i="1"/>
  <c r="BM1312" i="1"/>
  <c r="BN1313" i="1" l="1"/>
  <c r="BK1314" i="1"/>
  <c r="BM1313" i="1"/>
  <c r="BK1315" i="1" l="1"/>
  <c r="BN1314" i="1"/>
  <c r="BM1314" i="1"/>
  <c r="BN1315" i="1" l="1"/>
  <c r="BK1316" i="1"/>
  <c r="BM1315" i="1"/>
  <c r="BN1316" i="1" l="1"/>
  <c r="BK1317" i="1"/>
  <c r="BM1316" i="1"/>
  <c r="BN1317" i="1" l="1"/>
  <c r="BK1318" i="1"/>
  <c r="BM1317" i="1"/>
  <c r="BN1318" i="1" l="1"/>
  <c r="BK1319" i="1"/>
  <c r="BM1318" i="1"/>
  <c r="BN1319" i="1" l="1"/>
  <c r="BK1320" i="1"/>
  <c r="BM1319" i="1"/>
  <c r="BN1320" i="1" l="1"/>
  <c r="BK1321" i="1"/>
  <c r="BM1320" i="1"/>
  <c r="BN1321" i="1" l="1"/>
  <c r="BK1322" i="1"/>
  <c r="BM1321" i="1"/>
  <c r="BN1322" i="1" l="1"/>
  <c r="BK1323" i="1"/>
  <c r="BM1322" i="1"/>
  <c r="BN1323" i="1" l="1"/>
  <c r="BK1324" i="1"/>
  <c r="BM1323" i="1"/>
  <c r="BN1324" i="1" l="1"/>
  <c r="BK1325" i="1"/>
  <c r="BM1324" i="1"/>
  <c r="BN1325" i="1" l="1"/>
  <c r="BK1326" i="1"/>
  <c r="BM1325" i="1"/>
  <c r="BN1326" i="1" l="1"/>
  <c r="BK1327" i="1"/>
  <c r="BM1326" i="1"/>
  <c r="BN1327" i="1" l="1"/>
  <c r="BK1328" i="1"/>
  <c r="BM1327" i="1"/>
  <c r="BN1328" i="1" l="1"/>
  <c r="BK1329" i="1"/>
  <c r="BM1328" i="1"/>
  <c r="BK1330" i="1" l="1"/>
  <c r="BN1329" i="1"/>
  <c r="BM1329" i="1"/>
  <c r="BN1330" i="1" l="1"/>
  <c r="BK1331" i="1"/>
  <c r="BM1330" i="1"/>
  <c r="BK1332" i="1" l="1"/>
  <c r="BN1331" i="1"/>
  <c r="BM1331" i="1"/>
  <c r="BK1333" i="1" l="1"/>
  <c r="BN1332" i="1"/>
  <c r="BM1332" i="1"/>
  <c r="BN1333" i="1" l="1"/>
  <c r="BK1334" i="1"/>
  <c r="BM1333" i="1"/>
  <c r="BK1335" i="1" l="1"/>
  <c r="BN1334" i="1"/>
  <c r="BM1334" i="1"/>
  <c r="BN1335" i="1" l="1"/>
  <c r="BK1336" i="1"/>
  <c r="BM1335" i="1"/>
  <c r="BN1336" i="1" l="1"/>
  <c r="BK1337" i="1"/>
  <c r="BM1336" i="1"/>
  <c r="BN1337" i="1" l="1"/>
  <c r="BK1338" i="1"/>
  <c r="BM1337" i="1"/>
  <c r="BN1338" i="1" l="1"/>
  <c r="BK1339" i="1"/>
  <c r="BM1338" i="1"/>
  <c r="BK1340" i="1" l="1"/>
  <c r="BN1339" i="1"/>
  <c r="BM1339" i="1"/>
  <c r="BN1340" i="1" l="1"/>
  <c r="BK1341" i="1"/>
  <c r="BM1340" i="1"/>
  <c r="BN1341" i="1" l="1"/>
  <c r="BK1342" i="1"/>
  <c r="BM1341" i="1"/>
  <c r="BN1342" i="1" l="1"/>
  <c r="BK1343" i="1"/>
  <c r="BM1342" i="1"/>
  <c r="BK1344" i="1" l="1"/>
  <c r="BN1343" i="1"/>
  <c r="BM1343" i="1"/>
  <c r="BK1345" i="1" l="1"/>
  <c r="BN1344" i="1"/>
  <c r="BM1344" i="1"/>
  <c r="BN1345" i="1" l="1"/>
  <c r="BK1346" i="1"/>
  <c r="BM1345" i="1"/>
  <c r="BN1346" i="1" l="1"/>
  <c r="BK1347" i="1"/>
  <c r="BM1346" i="1"/>
  <c r="BN1347" i="1" l="1"/>
  <c r="BK1348" i="1"/>
  <c r="BM1347" i="1"/>
  <c r="BN1348" i="1" l="1"/>
  <c r="BK1349" i="1"/>
  <c r="BM1348" i="1"/>
  <c r="BK1350" i="1" l="1"/>
  <c r="BN1349" i="1"/>
  <c r="BM1349" i="1"/>
  <c r="BN1350" i="1" l="1"/>
  <c r="BK1351" i="1"/>
  <c r="BM1350" i="1"/>
  <c r="BN1351" i="1" l="1"/>
  <c r="BK1352" i="1"/>
  <c r="BM1351" i="1"/>
  <c r="BN1352" i="1" l="1"/>
  <c r="BK1353" i="1"/>
  <c r="BM1352" i="1"/>
  <c r="BN1353" i="1" l="1"/>
  <c r="BK1354" i="1"/>
  <c r="BM1353" i="1"/>
  <c r="BK1355" i="1" l="1"/>
  <c r="BN1354" i="1"/>
  <c r="BM1354" i="1"/>
  <c r="BK1356" i="1" l="1"/>
  <c r="BN1355" i="1"/>
  <c r="BM1355" i="1"/>
  <c r="BN1356" i="1" l="1"/>
  <c r="BK1357" i="1"/>
  <c r="BM1356" i="1"/>
  <c r="BK1358" i="1" l="1"/>
  <c r="BN1357" i="1"/>
  <c r="BM1357" i="1"/>
  <c r="BK1359" i="1" l="1"/>
  <c r="BN1358" i="1"/>
  <c r="BM1358" i="1"/>
  <c r="BN1359" i="1" l="1"/>
  <c r="BK1360" i="1"/>
  <c r="BM1359" i="1"/>
  <c r="BK1361" i="1" l="1"/>
  <c r="BN1360" i="1"/>
  <c r="BM1360" i="1"/>
  <c r="BN1361" i="1" l="1"/>
  <c r="BK1362" i="1"/>
  <c r="BM1361" i="1"/>
  <c r="BN1362" i="1" l="1"/>
  <c r="BK1363" i="1"/>
  <c r="BM1362" i="1"/>
  <c r="BN1363" i="1" l="1"/>
  <c r="BK1364" i="1"/>
  <c r="BM1363" i="1"/>
  <c r="BN1364" i="1" l="1"/>
  <c r="BK1365" i="1"/>
  <c r="BM1364" i="1"/>
  <c r="BN1365" i="1" l="1"/>
  <c r="BK1366" i="1"/>
  <c r="BM1365" i="1"/>
  <c r="BK1367" i="1" l="1"/>
  <c r="BN1366" i="1"/>
  <c r="BM1366" i="1"/>
  <c r="BK1368" i="1" l="1"/>
  <c r="BN1367" i="1"/>
  <c r="BM1367" i="1"/>
  <c r="BN1368" i="1" l="1"/>
  <c r="BK1369" i="1"/>
  <c r="BM1368" i="1"/>
  <c r="BN1369" i="1" l="1"/>
  <c r="BK1370" i="1"/>
  <c r="BM1369" i="1"/>
  <c r="BN1370" i="1" l="1"/>
  <c r="BK1371" i="1"/>
  <c r="BM1370" i="1"/>
  <c r="BN1371" i="1" l="1"/>
  <c r="BK1372" i="1"/>
  <c r="BM1371" i="1"/>
  <c r="BN1372" i="1" l="1"/>
  <c r="BK1373" i="1"/>
  <c r="BM1372" i="1"/>
  <c r="BN1373" i="1" l="1"/>
  <c r="BK1374" i="1"/>
  <c r="BM1373" i="1"/>
  <c r="BN1374" i="1" l="1"/>
  <c r="BK1375" i="1"/>
  <c r="BM1374" i="1"/>
  <c r="BK1376" i="1" l="1"/>
  <c r="BN1375" i="1"/>
  <c r="BM1375" i="1"/>
  <c r="BK1377" i="1" l="1"/>
  <c r="BN1376" i="1"/>
  <c r="BM1376" i="1"/>
  <c r="BN1377" i="1" l="1"/>
  <c r="BK1378" i="1"/>
  <c r="BM1377" i="1"/>
  <c r="BN1378" i="1" l="1"/>
  <c r="BK1379" i="1"/>
  <c r="BM1378" i="1"/>
  <c r="BK1380" i="1" l="1"/>
  <c r="BN1379" i="1"/>
  <c r="BM1379" i="1"/>
  <c r="BN1380" i="1" l="1"/>
  <c r="BK1381" i="1"/>
  <c r="BM1380" i="1"/>
  <c r="BN1381" i="1" l="1"/>
  <c r="BK1382" i="1"/>
  <c r="BM1381" i="1"/>
  <c r="BN1382" i="1" l="1"/>
  <c r="BK1383" i="1"/>
  <c r="BM1382" i="1"/>
  <c r="BN1383" i="1" l="1"/>
  <c r="BK1384" i="1"/>
  <c r="BM1383" i="1"/>
  <c r="BN1384" i="1" l="1"/>
  <c r="BK1385" i="1"/>
  <c r="BM1384" i="1"/>
  <c r="BN1385" i="1" l="1"/>
  <c r="BK1386" i="1"/>
  <c r="BM1385" i="1"/>
  <c r="BN1386" i="1" l="1"/>
  <c r="BK1387" i="1"/>
  <c r="BM1386" i="1"/>
  <c r="BN1387" i="1" l="1"/>
  <c r="BK1388" i="1"/>
  <c r="BM1387" i="1"/>
  <c r="BN1388" i="1" l="1"/>
  <c r="BK1389" i="1"/>
  <c r="BM1388" i="1"/>
  <c r="BN1389" i="1" l="1"/>
  <c r="BK1390" i="1"/>
  <c r="BM1389" i="1"/>
  <c r="BK1391" i="1" l="1"/>
  <c r="BN1390" i="1"/>
  <c r="BM1390" i="1"/>
  <c r="BN1391" i="1" l="1"/>
  <c r="BK1392" i="1"/>
  <c r="BM1391" i="1"/>
  <c r="BN1392" i="1" l="1"/>
  <c r="BK1393" i="1"/>
  <c r="BM1392" i="1"/>
  <c r="BN1393" i="1" l="1"/>
  <c r="BK1394" i="1"/>
  <c r="BM1393" i="1"/>
  <c r="BN1394" i="1" l="1"/>
  <c r="BK1395" i="1"/>
  <c r="BM1394" i="1"/>
  <c r="BK1396" i="1" l="1"/>
  <c r="BN1395" i="1"/>
  <c r="BM1395" i="1"/>
  <c r="BK1397" i="1" l="1"/>
  <c r="BN1396" i="1"/>
  <c r="BM1396" i="1"/>
  <c r="BN1397" i="1" l="1"/>
  <c r="BK1398" i="1"/>
  <c r="BM1397" i="1"/>
  <c r="BK1399" i="1" l="1"/>
  <c r="BN1398" i="1"/>
  <c r="BM1398" i="1"/>
  <c r="BN1399" i="1" l="1"/>
  <c r="BK1400" i="1"/>
  <c r="BM1399" i="1"/>
  <c r="BN1400" i="1" l="1"/>
  <c r="BK1401" i="1"/>
  <c r="BM1400" i="1"/>
  <c r="BN1401" i="1" l="1"/>
  <c r="BK1402" i="1"/>
  <c r="BM1401" i="1"/>
  <c r="BK1403" i="1" l="1"/>
  <c r="BN1402" i="1"/>
  <c r="BM1402" i="1"/>
  <c r="BN1403" i="1" l="1"/>
  <c r="BK1404" i="1"/>
  <c r="BM1403" i="1"/>
  <c r="BN1404" i="1" l="1"/>
  <c r="BK1405" i="1"/>
  <c r="BM1404" i="1"/>
  <c r="BK1406" i="1" l="1"/>
  <c r="BN1405" i="1"/>
  <c r="BM1405" i="1"/>
  <c r="BN1406" i="1" l="1"/>
  <c r="BK1407" i="1"/>
  <c r="BM1406" i="1"/>
  <c r="BK1408" i="1" l="1"/>
  <c r="BN1407" i="1"/>
  <c r="BM1407" i="1"/>
  <c r="BK1409" i="1" l="1"/>
  <c r="BN1408" i="1"/>
  <c r="BM1408" i="1"/>
  <c r="BN1409" i="1" l="1"/>
  <c r="BK1410" i="1"/>
  <c r="BM1409" i="1"/>
  <c r="BK1411" i="1" l="1"/>
  <c r="BN1410" i="1"/>
  <c r="BM1410" i="1"/>
  <c r="BK1412" i="1" l="1"/>
  <c r="BN1411" i="1"/>
  <c r="BM1411" i="1"/>
  <c r="BN1412" i="1" l="1"/>
  <c r="BK1413" i="1"/>
  <c r="BM1412" i="1"/>
  <c r="BN1413" i="1" l="1"/>
  <c r="BK1414" i="1"/>
  <c r="BM1413" i="1"/>
  <c r="BN1414" i="1" l="1"/>
  <c r="H2" i="1" s="1"/>
  <c r="BM1414" i="1"/>
  <c r="H5" i="1" s="1"/>
  <c r="H3" i="1" l="1"/>
  <c r="G4" i="1"/>
  <c r="G7" i="1" s="1"/>
  <c r="I2" i="1"/>
  <c r="I3" i="1" l="1"/>
  <c r="I5" i="1"/>
  <c r="I4" i="1"/>
  <c r="I21" i="2" l="1"/>
</calcChain>
</file>

<file path=xl/sharedStrings.xml><?xml version="1.0" encoding="utf-8"?>
<sst xmlns="http://schemas.openxmlformats.org/spreadsheetml/2006/main" count="89" uniqueCount="59">
  <si>
    <t>Monthly Repayment</t>
  </si>
  <si>
    <t>IR</t>
  </si>
  <si>
    <t>Prosposed</t>
  </si>
  <si>
    <t>Current</t>
  </si>
  <si>
    <t>Difference</t>
  </si>
  <si>
    <t>Proposed</t>
  </si>
  <si>
    <t>Months</t>
  </si>
  <si>
    <t>No Additional Repayment</t>
  </si>
  <si>
    <t>Additional Repayment</t>
  </si>
  <si>
    <t>Flag</t>
  </si>
  <si>
    <t>Principle On Mortgage</t>
  </si>
  <si>
    <t>Years Till Repayment</t>
  </si>
  <si>
    <t>Paid To Bank Total</t>
  </si>
  <si>
    <t>After Proposed Fully Paid</t>
  </si>
  <si>
    <t>Proposed Total Additional Repayments</t>
  </si>
  <si>
    <t>Annualized Rate Of Return On Additional Repayments</t>
  </si>
  <si>
    <t>Condition</t>
  </si>
  <si>
    <t>Additional Repayment Flag</t>
  </si>
  <si>
    <t>Years of Over Payment</t>
  </si>
  <si>
    <t>Best Time To Stop Over Payment</t>
  </si>
  <si>
    <t>Interest</t>
  </si>
  <si>
    <t>Timeline 1: No Overpayment</t>
  </si>
  <si>
    <t>Timeline 2: Overpayment</t>
  </si>
  <si>
    <t>Years Till Full Repayment</t>
  </si>
  <si>
    <t xml:space="preserve"> </t>
  </si>
  <si>
    <t>Total Timeline 2 Additional Repayments</t>
  </si>
  <si>
    <t>Mortgage After Timeline 2 Fully Paid</t>
  </si>
  <si>
    <t>Rate</t>
  </si>
  <si>
    <t>Term</t>
  </si>
  <si>
    <t>Total</t>
  </si>
  <si>
    <t>Annual</t>
  </si>
  <si>
    <t>Rate New</t>
  </si>
  <si>
    <t>Term New</t>
  </si>
  <si>
    <t>PV</t>
  </si>
  <si>
    <t>PV New</t>
  </si>
  <si>
    <t>Debt</t>
  </si>
  <si>
    <t>Debt New</t>
  </si>
  <si>
    <t>Rent</t>
  </si>
  <si>
    <t>Rent New</t>
  </si>
  <si>
    <t>Mortgage</t>
  </si>
  <si>
    <t>Mortgage New</t>
  </si>
  <si>
    <t>Interest New</t>
  </si>
  <si>
    <t>Net</t>
  </si>
  <si>
    <t>Net New</t>
  </si>
  <si>
    <t>Tax</t>
  </si>
  <si>
    <t>Tax New</t>
  </si>
  <si>
    <t>Net Less Mortgage</t>
  </si>
  <si>
    <t>Net Less Mortgage New</t>
  </si>
  <si>
    <t>Year Outlook</t>
  </si>
  <si>
    <t>Equity</t>
  </si>
  <si>
    <t>Equity New</t>
  </si>
  <si>
    <t>Cash</t>
  </si>
  <si>
    <t>Cash Stay</t>
  </si>
  <si>
    <t>Net Stay</t>
  </si>
  <si>
    <t>Cash New</t>
  </si>
  <si>
    <t>Estimated Upfront cash</t>
  </si>
  <si>
    <t>Profit from new house</t>
  </si>
  <si>
    <t>Profit After Deposit</t>
  </si>
  <si>
    <t>ROI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</si>
</sst>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?_);_(@_)"/>
    <numFmt numFmtId="165" formatCode="_(&quot;$&quot;* #,##0_);_(&quot;$&quot;* \(#,##0\);_(&quot;$&quot;* &quot;-&quot;??_);_(@_)"/>
    <numFmt numFmtId="166" formatCode="0.0"/>
    <numFmt numFmtId="167" formatCode="_(* #,##0_);_(* \(#,##0\);_(* &quot;-&quot;??_);_(@_)"/>
    <numFmt numFmtId="168" formatCode="0.000"/>
    <numFmt numFmtId="169" formatCode="0.0%"/>
    <numFmt numFmtId="170" formatCode="_(* #,##0_);_(* \(#,##0\);_(* &quot;-&quot;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5">
    <xf numFmtId="0" fontId="0" fillId="0" borderId="0" xfId="0"/>
    <xf numFmtId="165" fontId="0" fillId="0" borderId="0" xfId="2" applyNumberFormat="1" applyFont="1"/>
    <xf numFmtId="2" fontId="0" fillId="0" borderId="0" xfId="0" applyNumberFormat="1"/>
    <xf numFmtId="1" fontId="0" fillId="0" borderId="0" xfId="0" applyNumberFormat="1"/>
    <xf numFmtId="165" fontId="0" fillId="0" borderId="0" xfId="0" applyNumberFormat="1"/>
    <xf numFmtId="10" fontId="0" fillId="0" borderId="0" xfId="3" applyNumberFormat="1" applyFont="1"/>
    <xf numFmtId="0" fontId="0" fillId="0" borderId="6" xfId="0" applyBorder="1"/>
    <xf numFmtId="165" fontId="0" fillId="2" borderId="0" xfId="2" applyNumberFormat="1" applyFont="1" applyFill="1" applyBorder="1"/>
    <xf numFmtId="165" fontId="0" fillId="2" borderId="7" xfId="2" applyNumberFormat="1" applyFont="1" applyFill="1" applyBorder="1"/>
    <xf numFmtId="165" fontId="3" fillId="2" borderId="0" xfId="2" applyNumberFormat="1" applyFont="1" applyFill="1" applyBorder="1" applyAlignment="1"/>
    <xf numFmtId="0" fontId="0" fillId="0" borderId="3" xfId="0" applyBorder="1"/>
    <xf numFmtId="10" fontId="0" fillId="2" borderId="8" xfId="0" applyNumberFormat="1" applyFill="1" applyBorder="1"/>
    <xf numFmtId="10" fontId="0" fillId="2" borderId="4" xfId="0" applyNumberFormat="1" applyFill="1" applyBorder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11" xfId="0" applyFont="1" applyFill="1" applyBorder="1"/>
    <xf numFmtId="0" fontId="0" fillId="0" borderId="1" xfId="0" applyBorder="1"/>
    <xf numFmtId="166" fontId="0" fillId="0" borderId="5" xfId="0" applyNumberFormat="1" applyBorder="1"/>
    <xf numFmtId="164" fontId="0" fillId="0" borderId="2" xfId="1" applyNumberFormat="1" applyFont="1" applyBorder="1"/>
    <xf numFmtId="165" fontId="0" fillId="0" borderId="0" xfId="0" applyNumberFormat="1" applyBorder="1"/>
    <xf numFmtId="165" fontId="0" fillId="0" borderId="7" xfId="0" applyNumberFormat="1" applyBorder="1"/>
    <xf numFmtId="165" fontId="0" fillId="0" borderId="0" xfId="2" applyNumberFormat="1" applyFont="1" applyBorder="1"/>
    <xf numFmtId="44" fontId="0" fillId="0" borderId="0" xfId="2" applyFont="1" applyBorder="1"/>
    <xf numFmtId="44" fontId="0" fillId="0" borderId="8" xfId="2" applyFont="1" applyBorder="1"/>
    <xf numFmtId="165" fontId="0" fillId="0" borderId="8" xfId="2" applyNumberFormat="1" applyFont="1" applyBorder="1"/>
    <xf numFmtId="165" fontId="0" fillId="0" borderId="4" xfId="0" applyNumberFormat="1" applyBorder="1"/>
    <xf numFmtId="167" fontId="0" fillId="0" borderId="0" xfId="1" applyNumberFormat="1" applyFont="1"/>
    <xf numFmtId="165" fontId="3" fillId="0" borderId="0" xfId="2" applyNumberFormat="1" applyFont="1" applyFill="1" applyBorder="1"/>
    <xf numFmtId="0" fontId="0" fillId="0" borderId="9" xfId="0" applyBorder="1"/>
    <xf numFmtId="14" fontId="2" fillId="0" borderId="11" xfId="0" applyNumberFormat="1" applyFont="1" applyBorder="1" applyAlignment="1">
      <alignment horizontal="center"/>
    </xf>
    <xf numFmtId="2" fontId="0" fillId="0" borderId="5" xfId="0" applyNumberFormat="1" applyBorder="1"/>
    <xf numFmtId="9" fontId="0" fillId="0" borderId="0" xfId="3" applyFont="1"/>
    <xf numFmtId="0" fontId="2" fillId="0" borderId="0" xfId="0" applyFont="1"/>
    <xf numFmtId="167" fontId="0" fillId="0" borderId="0" xfId="0" applyNumberFormat="1"/>
    <xf numFmtId="168" fontId="0" fillId="0" borderId="0" xfId="0" applyNumberFormat="1"/>
    <xf numFmtId="169" fontId="0" fillId="0" borderId="0" xfId="3" applyNumberFormat="1" applyFont="1"/>
    <xf numFmtId="2" fontId="2" fillId="0" borderId="0" xfId="0" applyNumberFormat="1" applyFont="1"/>
    <xf numFmtId="164" fontId="0" fillId="0" borderId="13" xfId="1" applyNumberFormat="1" applyFont="1" applyBorder="1"/>
    <xf numFmtId="165" fontId="0" fillId="0" borderId="14" xfId="0" applyNumberFormat="1" applyBorder="1"/>
    <xf numFmtId="165" fontId="0" fillId="0" borderId="15" xfId="0" applyNumberFormat="1" applyBorder="1"/>
    <xf numFmtId="0" fontId="2" fillId="4" borderId="12" xfId="0" applyFont="1" applyFill="1" applyBorder="1"/>
    <xf numFmtId="0" fontId="0" fillId="0" borderId="0" xfId="0" applyBorder="1"/>
    <xf numFmtId="0" fontId="0" fillId="0" borderId="8" xfId="0" applyBorder="1"/>
    <xf numFmtId="8" fontId="0" fillId="0" borderId="0" xfId="0" applyNumberFormat="1"/>
    <xf numFmtId="10" fontId="0" fillId="0" borderId="0" xfId="0" applyNumberFormat="1"/>
    <xf numFmtId="6" fontId="0" fillId="0" borderId="0" xfId="0" applyNumberFormat="1"/>
    <xf numFmtId="43" fontId="0" fillId="0" borderId="0" xfId="0" applyNumberFormat="1"/>
    <xf numFmtId="170" fontId="0" fillId="0" borderId="0" xfId="0" applyNumberFormat="1"/>
    <xf numFmtId="0" fontId="0" fillId="0" borderId="1" xfId="0" applyBorder="1" applyAlignment="1">
      <alignment horizontal="left" wrapText="1"/>
    </xf>
    <xf numFmtId="0" fontId="0" fillId="0" borderId="3" xfId="0" applyBorder="1" applyAlignment="1">
      <alignment horizontal="left" wrapText="1"/>
    </xf>
    <xf numFmtId="10" fontId="2" fillId="3" borderId="2" xfId="3" applyNumberFormat="1" applyFont="1" applyFill="1" applyBorder="1" applyAlignment="1">
      <alignment horizontal="center" vertical="center"/>
    </xf>
    <xf numFmtId="10" fontId="2" fillId="3" borderId="4" xfId="3" applyNumberFormat="1" applyFont="1" applyFill="1" applyBorder="1" applyAlignment="1">
      <alignment horizontal="center" vertical="center"/>
    </xf>
    <xf numFmtId="0" fontId="0" fillId="0" borderId="0" xfId="0" applyFill="1" applyBorder="1"/>
    <xf numFmtId="8" fontId="0" fillId="0" borderId="0" xfId="0" applyNumberFormat="1" applyFill="1" applyBorder="1"/>
    <xf numFmtId="167" fontId="0" fillId="0" borderId="0" xfId="0" applyNumberFormat="1" applyFill="1" applyBorder="1"/>
    <xf numFmtId="0" fontId="2" fillId="0" borderId="0" xfId="0" applyFont="1" applyFill="1" applyBorder="1"/>
    <xf numFmtId="165" fontId="0" fillId="0" borderId="0" xfId="0" applyNumberFormat="1" applyFill="1" applyBorder="1"/>
    <xf numFmtId="167" fontId="0" fillId="0" borderId="0" xfId="1" applyNumberFormat="1" applyFont="1" applyFill="1" applyBorder="1"/>
    <xf numFmtId="44" fontId="0" fillId="0" borderId="0" xfId="0" applyNumberFormat="1" applyFill="1" applyBorder="1"/>
    <xf numFmtId="2" fontId="0" fillId="0" borderId="0" xfId="0" applyNumberFormat="1" applyFill="1" applyBorder="1"/>
    <xf numFmtId="165" fontId="0" fillId="0" borderId="0" xfId="2" applyNumberFormat="1" applyFont="1" applyFill="1" applyBorder="1"/>
    <xf numFmtId="167" fontId="2" fillId="0" borderId="0" xfId="1" applyNumberFormat="1" applyFont="1" applyFill="1" applyBorder="1"/>
    <xf numFmtId="1" fontId="0" fillId="0" borderId="0" xfId="0" applyNumberFormat="1" applyFill="1" applyBorder="1"/>
    <xf numFmtId="166" fontId="0" fillId="0" borderId="0" xfId="0" applyNumberFormat="1" applyFill="1" applyBorder="1"/>
    <xf numFmtId="10" fontId="0" fillId="0" borderId="0" xfId="0" applyNumberFormat="1" applyFill="1" applyBorder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3"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O1415"/>
  <sheetViews>
    <sheetView zoomScaleNormal="100" workbookViewId="0">
      <selection activeCell="G7" sqref="G7:G8"/>
    </sheetView>
  </sheetViews>
  <sheetFormatPr defaultRowHeight="15" x14ac:dyDescent="0.25"/>
  <cols>
    <col min="1" max="1" width="21" style="52" bestFit="1" customWidth="1"/>
    <col min="2" max="2" width="21" style="52" customWidth="1"/>
    <col min="3" max="3" width="12.5703125" style="52" bestFit="1" customWidth="1"/>
    <col min="4" max="4" width="12.85546875" style="52" bestFit="1" customWidth="1"/>
    <col min="5" max="5" width="10.7109375" bestFit="1" customWidth="1"/>
    <col min="6" max="6" width="36.5703125" bestFit="1" customWidth="1"/>
    <col min="7" max="7" width="14" bestFit="1" customWidth="1"/>
    <col min="8" max="8" width="19.140625" bestFit="1" customWidth="1"/>
    <col min="9" max="9" width="15.28515625" bestFit="1" customWidth="1"/>
    <col min="10" max="12" width="10.7109375" bestFit="1" customWidth="1"/>
    <col min="13" max="13" width="36.28515625" bestFit="1" customWidth="1"/>
    <col min="14" max="14" width="33.5703125" bestFit="1" customWidth="1"/>
    <col min="15" max="15" width="30.140625" bestFit="1" customWidth="1"/>
    <col min="16" max="16" width="10.7109375" bestFit="1" customWidth="1"/>
    <col min="17" max="20" width="11.42578125" bestFit="1" customWidth="1"/>
    <col min="21" max="21" width="12.42578125" bestFit="1" customWidth="1"/>
    <col min="22" max="29" width="10.5703125" bestFit="1" customWidth="1"/>
    <col min="30" max="37" width="11.28515625" bestFit="1" customWidth="1"/>
    <col min="38" max="52" width="12.28515625" bestFit="1" customWidth="1"/>
    <col min="62" max="62" width="25.85546875" style="1" bestFit="1" customWidth="1"/>
    <col min="63" max="63" width="21.140625" bestFit="1" customWidth="1"/>
    <col min="64" max="64" width="25.28515625" bestFit="1" customWidth="1"/>
    <col min="65" max="65" width="14.7109375" customWidth="1"/>
  </cols>
  <sheetData>
    <row r="1" spans="1:67" ht="15.75" thickBot="1" x14ac:dyDescent="0.3">
      <c r="A1" s="13" t="s">
        <v>16</v>
      </c>
      <c r="B1" s="14"/>
      <c r="C1" s="14" t="s">
        <v>3</v>
      </c>
      <c r="D1" s="15" t="s">
        <v>2</v>
      </c>
      <c r="F1" s="13" t="s">
        <v>16</v>
      </c>
      <c r="G1" s="14" t="s">
        <v>3</v>
      </c>
      <c r="H1" s="14" t="s">
        <v>5</v>
      </c>
      <c r="I1" s="15" t="s">
        <v>4</v>
      </c>
      <c r="BI1" t="s">
        <v>6</v>
      </c>
      <c r="BJ1" s="1" t="s">
        <v>7</v>
      </c>
      <c r="BK1" t="s">
        <v>8</v>
      </c>
      <c r="BL1" t="s">
        <v>17</v>
      </c>
      <c r="BN1" t="s">
        <v>9</v>
      </c>
      <c r="BO1" t="s">
        <v>9</v>
      </c>
    </row>
    <row r="2" spans="1:67" ht="15.75" thickBot="1" x14ac:dyDescent="0.3">
      <c r="A2" s="6" t="s">
        <v>10</v>
      </c>
      <c r="B2" s="41"/>
      <c r="C2" s="7">
        <f>C5</f>
        <v>212400</v>
      </c>
      <c r="D2" s="8">
        <f>C2</f>
        <v>212400</v>
      </c>
      <c r="F2" s="16" t="s">
        <v>11</v>
      </c>
      <c r="G2" s="30">
        <f>MIN(BO:BO)</f>
        <v>35.416666666666579</v>
      </c>
      <c r="H2" s="17">
        <f>MIN(BN:BN)</f>
        <v>33.916666666666536</v>
      </c>
      <c r="I2" s="18">
        <f>G2-H2</f>
        <v>1.5000000000000426</v>
      </c>
      <c r="BI2">
        <v>0</v>
      </c>
      <c r="BJ2" s="1">
        <f>C2</f>
        <v>212400</v>
      </c>
      <c r="BK2" s="1">
        <f>D2</f>
        <v>212400</v>
      </c>
      <c r="BL2" s="26">
        <f t="shared" ref="BL2:BL65" si="0">IF(BI2&gt;$G$12,0,1)</f>
        <v>1</v>
      </c>
      <c r="BM2" s="26">
        <f t="shared" ref="BM2:BM65" si="1">IF(AND(BL2&gt;0,BK2&gt;0),1,0)</f>
        <v>1</v>
      </c>
      <c r="BN2">
        <f t="shared" ref="BN2:BN65" si="2">IF(BK2&lt;0,BI2,999)</f>
        <v>999</v>
      </c>
      <c r="BO2">
        <f t="shared" ref="BO2:BO65" si="3">IF(BJ2&lt;0,BI2,999)</f>
        <v>999</v>
      </c>
    </row>
    <row r="3" spans="1:67" ht="15.75" thickBot="1" x14ac:dyDescent="0.3">
      <c r="A3" s="6" t="s">
        <v>0</v>
      </c>
      <c r="B3" s="41"/>
      <c r="C3" s="9">
        <v>830</v>
      </c>
      <c r="D3" s="8">
        <v>850</v>
      </c>
      <c r="E3" s="4"/>
      <c r="F3" s="6" t="s">
        <v>12</v>
      </c>
      <c r="G3" s="19">
        <f>G2*C3*12</f>
        <v>352749.99999999913</v>
      </c>
      <c r="H3" s="19">
        <f>H2*D3*12</f>
        <v>345949.99999999866</v>
      </c>
      <c r="I3" s="20">
        <f>G3-H3</f>
        <v>6800.0000000004657</v>
      </c>
      <c r="M3" s="13" t="s">
        <v>16</v>
      </c>
      <c r="N3" s="14" t="s">
        <v>21</v>
      </c>
      <c r="O3" s="14" t="s">
        <v>22</v>
      </c>
      <c r="P3" s="40" t="s">
        <v>4</v>
      </c>
      <c r="BI3" s="34">
        <f t="shared" ref="BI3:BI66" si="4">BI2+1/12</f>
        <v>8.3333333333333329E-2</v>
      </c>
      <c r="BJ3" s="1">
        <f t="shared" ref="BJ3:BJ66" si="5">BJ2*(1+$C$4/12) - $C$3</f>
        <v>212127.55000000002</v>
      </c>
      <c r="BK3" s="1">
        <f>BK2*(1+$D$4/12)-$C$3-($D$3-$C$3)*BL3</f>
        <v>212107.55000000002</v>
      </c>
      <c r="BL3" s="26">
        <f t="shared" si="0"/>
        <v>1</v>
      </c>
      <c r="BM3" s="26">
        <f t="shared" si="1"/>
        <v>1</v>
      </c>
      <c r="BN3">
        <f t="shared" si="2"/>
        <v>999</v>
      </c>
      <c r="BO3">
        <f t="shared" si="3"/>
        <v>999</v>
      </c>
    </row>
    <row r="4" spans="1:67" ht="15.75" thickBot="1" x14ac:dyDescent="0.3">
      <c r="A4" s="10" t="s">
        <v>1</v>
      </c>
      <c r="B4" s="42"/>
      <c r="C4" s="11">
        <v>3.15E-2</v>
      </c>
      <c r="D4" s="12">
        <v>3.15E-2</v>
      </c>
      <c r="F4" s="6" t="s">
        <v>13</v>
      </c>
      <c r="G4" s="21">
        <f>IF(SUMIFS(BJ:BJ,BN:BN,H2)&lt;0,0,SUMIFS(BJ:BJ,BN:BN,H2))</f>
        <v>14515.73474360577</v>
      </c>
      <c r="H4" s="22">
        <v>0</v>
      </c>
      <c r="I4" s="20">
        <f>G4-H4</f>
        <v>14515.73474360577</v>
      </c>
      <c r="M4" s="6" t="s">
        <v>10</v>
      </c>
      <c r="N4" s="7">
        <v>300000</v>
      </c>
      <c r="O4" s="7">
        <v>300000</v>
      </c>
      <c r="P4" s="38">
        <f>O4-N4</f>
        <v>0</v>
      </c>
      <c r="BI4" s="3">
        <f t="shared" si="4"/>
        <v>0.16666666666666666</v>
      </c>
      <c r="BJ4" s="1">
        <f t="shared" si="5"/>
        <v>211854.38481875003</v>
      </c>
      <c r="BK4" s="1">
        <f t="shared" ref="BK4:BK67" si="6">BK3*(1+$D$4/12)-$C$3-($D$3-$C$3)*BL4</f>
        <v>211814.33231875004</v>
      </c>
      <c r="BL4" s="26">
        <f t="shared" si="0"/>
        <v>1</v>
      </c>
      <c r="BM4" s="26">
        <f t="shared" si="1"/>
        <v>1</v>
      </c>
      <c r="BN4">
        <f t="shared" si="2"/>
        <v>999</v>
      </c>
      <c r="BO4">
        <f t="shared" si="3"/>
        <v>999</v>
      </c>
    </row>
    <row r="5" spans="1:67" ht="15.75" thickBot="1" x14ac:dyDescent="0.3">
      <c r="A5"/>
      <c r="B5" s="43">
        <f>PMT(C4/12,35*12,C2)</f>
        <v>-835.30583282453779</v>
      </c>
      <c r="C5">
        <f>236000*0.9</f>
        <v>212400</v>
      </c>
      <c r="D5"/>
      <c r="F5" s="10" t="s">
        <v>14</v>
      </c>
      <c r="G5" s="23">
        <v>0</v>
      </c>
      <c r="H5" s="24">
        <f>(D3-C3)*(SUM(BM:BM))</f>
        <v>8140</v>
      </c>
      <c r="I5" s="25">
        <f>G5-H5</f>
        <v>-8140</v>
      </c>
      <c r="M5" s="6" t="s">
        <v>0</v>
      </c>
      <c r="N5" s="9">
        <v>1250</v>
      </c>
      <c r="O5" s="7">
        <f>N5+500</f>
        <v>1750</v>
      </c>
      <c r="P5" s="38">
        <f>O5-N5</f>
        <v>500</v>
      </c>
      <c r="BI5" s="3">
        <f t="shared" si="4"/>
        <v>0.25</v>
      </c>
      <c r="BJ5" s="1">
        <f t="shared" si="5"/>
        <v>211580.50257889926</v>
      </c>
      <c r="BK5" s="1">
        <f t="shared" si="6"/>
        <v>211520.34494108678</v>
      </c>
      <c r="BL5" s="26">
        <f t="shared" si="0"/>
        <v>1</v>
      </c>
      <c r="BM5" s="26">
        <f t="shared" si="1"/>
        <v>1</v>
      </c>
      <c r="BN5">
        <f t="shared" si="2"/>
        <v>999</v>
      </c>
      <c r="BO5">
        <f t="shared" si="3"/>
        <v>999</v>
      </c>
    </row>
    <row r="6" spans="1:67" ht="15.75" thickBot="1" x14ac:dyDescent="0.3">
      <c r="A6"/>
      <c r="B6"/>
      <c r="C6"/>
      <c r="D6" s="27"/>
      <c r="M6" s="10" t="s">
        <v>20</v>
      </c>
      <c r="N6" s="11">
        <v>3.5000000000000003E-2</v>
      </c>
      <c r="O6" s="11">
        <v>3.5000000000000003E-2</v>
      </c>
      <c r="P6" s="38">
        <f>O6-N6</f>
        <v>0</v>
      </c>
      <c r="BI6" s="3">
        <f t="shared" si="4"/>
        <v>0.33333333333333331</v>
      </c>
      <c r="BJ6" s="1">
        <f t="shared" si="5"/>
        <v>211305.90139816891</v>
      </c>
      <c r="BK6" s="1">
        <f t="shared" si="6"/>
        <v>211225.58584655714</v>
      </c>
      <c r="BL6" s="26">
        <f t="shared" si="0"/>
        <v>1</v>
      </c>
      <c r="BM6" s="26">
        <f t="shared" si="1"/>
        <v>1</v>
      </c>
      <c r="BN6">
        <f t="shared" si="2"/>
        <v>999</v>
      </c>
      <c r="BO6">
        <f t="shared" si="3"/>
        <v>999</v>
      </c>
    </row>
    <row r="7" spans="1:67" x14ac:dyDescent="0.25">
      <c r="A7" s="61"/>
      <c r="B7" s="62"/>
      <c r="F7" s="48" t="s">
        <v>15</v>
      </c>
      <c r="G7" s="50">
        <f>((G4-H5)/H5+1)^(1/H2)-1</f>
        <v>1.7201095480435136E-2</v>
      </c>
      <c r="M7" s="16" t="s">
        <v>23</v>
      </c>
      <c r="N7" s="30">
        <v>34.499999999999886</v>
      </c>
      <c r="O7" s="17">
        <v>19.833333333333321</v>
      </c>
      <c r="P7" s="37">
        <v>14.666666666666565</v>
      </c>
      <c r="BI7" s="3">
        <f t="shared" si="4"/>
        <v>0.41666666666666663</v>
      </c>
      <c r="BJ7" s="1">
        <f t="shared" si="5"/>
        <v>211030.57938933911</v>
      </c>
      <c r="BK7" s="1">
        <f t="shared" si="6"/>
        <v>210930.05300940436</v>
      </c>
      <c r="BL7" s="26">
        <f t="shared" si="0"/>
        <v>1</v>
      </c>
      <c r="BM7" s="26">
        <f t="shared" si="1"/>
        <v>1</v>
      </c>
      <c r="BN7">
        <f t="shared" si="2"/>
        <v>999</v>
      </c>
      <c r="BO7">
        <f t="shared" si="3"/>
        <v>999</v>
      </c>
    </row>
    <row r="8" spans="1:67" ht="15.75" thickBot="1" x14ac:dyDescent="0.3">
      <c r="A8" s="57"/>
      <c r="B8" s="63"/>
      <c r="C8" s="56"/>
      <c r="F8" s="49"/>
      <c r="G8" s="51"/>
      <c r="H8" s="31"/>
      <c r="M8" s="6" t="s">
        <v>12</v>
      </c>
      <c r="N8" s="19">
        <v>517499.99999999825</v>
      </c>
      <c r="O8" s="19">
        <v>416499.99999999977</v>
      </c>
      <c r="P8" s="38">
        <v>100999.99999999849</v>
      </c>
      <c r="BI8" s="3">
        <f t="shared" si="4"/>
        <v>0.49999999999999994</v>
      </c>
      <c r="BJ8" s="1">
        <f t="shared" si="5"/>
        <v>210754.53466023615</v>
      </c>
      <c r="BK8" s="1">
        <f t="shared" si="6"/>
        <v>210633.74439855406</v>
      </c>
      <c r="BL8" s="26">
        <f t="shared" si="0"/>
        <v>1</v>
      </c>
      <c r="BM8" s="26">
        <f t="shared" si="1"/>
        <v>1</v>
      </c>
      <c r="BN8">
        <f t="shared" si="2"/>
        <v>999</v>
      </c>
      <c r="BO8">
        <f t="shared" si="3"/>
        <v>999</v>
      </c>
    </row>
    <row r="9" spans="1:67" ht="15.75" thickBot="1" x14ac:dyDescent="0.3">
      <c r="A9" s="57"/>
      <c r="B9" s="63"/>
      <c r="C9" s="56"/>
      <c r="D9" s="60"/>
      <c r="F9" s="28" t="s">
        <v>19</v>
      </c>
      <c r="G9" s="29">
        <f ca="1">TODAY()+G12*365</f>
        <v>56819.083333333299</v>
      </c>
      <c r="H9" s="4"/>
      <c r="M9" s="6" t="s">
        <v>26</v>
      </c>
      <c r="N9" s="21">
        <v>171426.22528903018</v>
      </c>
      <c r="O9" s="22">
        <v>0</v>
      </c>
      <c r="P9" s="38">
        <v>171426.22528903018</v>
      </c>
      <c r="BI9" s="3">
        <f t="shared" si="4"/>
        <v>0.58333333333333326</v>
      </c>
      <c r="BJ9" s="1">
        <f t="shared" si="5"/>
        <v>210477.76531371928</v>
      </c>
      <c r="BK9" s="1">
        <f t="shared" si="6"/>
        <v>210336.65797760029</v>
      </c>
      <c r="BL9" s="26">
        <f t="shared" si="0"/>
        <v>1</v>
      </c>
      <c r="BM9" s="26">
        <f t="shared" si="1"/>
        <v>1</v>
      </c>
      <c r="BN9">
        <f t="shared" si="2"/>
        <v>999</v>
      </c>
      <c r="BO9">
        <f t="shared" si="3"/>
        <v>999</v>
      </c>
    </row>
    <row r="10" spans="1:67" ht="15" customHeight="1" thickBot="1" x14ac:dyDescent="0.3">
      <c r="A10" s="57"/>
      <c r="B10" s="63"/>
      <c r="C10" s="56"/>
      <c r="D10" s="60"/>
      <c r="L10" t="s">
        <v>24</v>
      </c>
      <c r="M10" s="10" t="s">
        <v>25</v>
      </c>
      <c r="N10" s="23">
        <v>0</v>
      </c>
      <c r="O10" s="24">
        <v>119000</v>
      </c>
      <c r="P10" s="39">
        <v>-118500</v>
      </c>
      <c r="BI10" s="3">
        <f t="shared" si="4"/>
        <v>0.66666666666666663</v>
      </c>
      <c r="BJ10" s="1">
        <f t="shared" si="5"/>
        <v>210200.26944766782</v>
      </c>
      <c r="BK10" s="1">
        <f t="shared" si="6"/>
        <v>210038.79170479151</v>
      </c>
      <c r="BL10" s="26">
        <f t="shared" si="0"/>
        <v>1</v>
      </c>
      <c r="BM10" s="26">
        <f t="shared" si="1"/>
        <v>1</v>
      </c>
      <c r="BN10">
        <f t="shared" si="2"/>
        <v>999</v>
      </c>
      <c r="BO10">
        <f t="shared" si="3"/>
        <v>999</v>
      </c>
    </row>
    <row r="11" spans="1:67" x14ac:dyDescent="0.25">
      <c r="A11" s="57"/>
      <c r="B11" s="63"/>
      <c r="C11" s="56"/>
      <c r="D11" s="64"/>
      <c r="I11" s="5"/>
      <c r="BI11" s="3">
        <f t="shared" si="4"/>
        <v>0.75</v>
      </c>
      <c r="BJ11" s="1">
        <f t="shared" si="5"/>
        <v>209922.04515496796</v>
      </c>
      <c r="BK11" s="1">
        <f t="shared" si="6"/>
        <v>209740.14353301661</v>
      </c>
      <c r="BL11" s="26">
        <f t="shared" si="0"/>
        <v>1</v>
      </c>
      <c r="BM11" s="26">
        <f t="shared" si="1"/>
        <v>1</v>
      </c>
      <c r="BN11">
        <f t="shared" si="2"/>
        <v>999</v>
      </c>
      <c r="BO11">
        <f t="shared" si="3"/>
        <v>999</v>
      </c>
    </row>
    <row r="12" spans="1:67" x14ac:dyDescent="0.25">
      <c r="A12" s="57"/>
      <c r="B12" s="63"/>
      <c r="C12" s="56"/>
      <c r="F12" s="32" t="s">
        <v>18</v>
      </c>
      <c r="G12" s="36">
        <f>G2</f>
        <v>35.416666666666579</v>
      </c>
      <c r="BI12" s="3">
        <f t="shared" si="4"/>
        <v>0.83333333333333337</v>
      </c>
      <c r="BJ12" s="1">
        <f t="shared" si="5"/>
        <v>209643.09052349976</v>
      </c>
      <c r="BK12" s="1">
        <f t="shared" si="6"/>
        <v>209440.71140979079</v>
      </c>
      <c r="BL12" s="26">
        <f t="shared" si="0"/>
        <v>1</v>
      </c>
      <c r="BM12" s="26">
        <f t="shared" si="1"/>
        <v>1</v>
      </c>
      <c r="BN12">
        <f t="shared" si="2"/>
        <v>999</v>
      </c>
      <c r="BO12">
        <f t="shared" si="3"/>
        <v>999</v>
      </c>
    </row>
    <row r="13" spans="1:67" x14ac:dyDescent="0.25">
      <c r="A13" s="57"/>
      <c r="B13" s="63"/>
      <c r="C13" s="56"/>
      <c r="H13" s="2"/>
      <c r="N13">
        <f>500*12*20</f>
        <v>120000</v>
      </c>
      <c r="BI13" s="3">
        <f t="shared" si="4"/>
        <v>0.91666666666666674</v>
      </c>
      <c r="BJ13" s="1">
        <f t="shared" si="5"/>
        <v>209363.40363612396</v>
      </c>
      <c r="BK13" s="1">
        <f t="shared" si="6"/>
        <v>209140.4932772415</v>
      </c>
      <c r="BL13" s="26">
        <f t="shared" si="0"/>
        <v>1</v>
      </c>
      <c r="BM13" s="26">
        <f t="shared" si="1"/>
        <v>1</v>
      </c>
      <c r="BN13">
        <f t="shared" si="2"/>
        <v>999</v>
      </c>
      <c r="BO13">
        <f t="shared" si="3"/>
        <v>999</v>
      </c>
    </row>
    <row r="14" spans="1:67" x14ac:dyDescent="0.25">
      <c r="A14" s="57"/>
      <c r="B14" s="63"/>
      <c r="C14" s="56"/>
      <c r="F14" s="52"/>
      <c r="G14" s="52"/>
      <c r="H14" s="52"/>
      <c r="BI14" s="3">
        <f t="shared" si="4"/>
        <v>1</v>
      </c>
      <c r="BJ14" s="1">
        <f t="shared" si="5"/>
        <v>209082.9825706688</v>
      </c>
      <c r="BK14" s="1">
        <f t="shared" si="6"/>
        <v>208839.48707209429</v>
      </c>
      <c r="BL14" s="26">
        <f t="shared" si="0"/>
        <v>1</v>
      </c>
      <c r="BM14" s="26">
        <f t="shared" si="1"/>
        <v>1</v>
      </c>
      <c r="BN14">
        <f t="shared" si="2"/>
        <v>999</v>
      </c>
      <c r="BO14">
        <f t="shared" si="3"/>
        <v>999</v>
      </c>
    </row>
    <row r="15" spans="1:67" x14ac:dyDescent="0.25">
      <c r="A15" s="57"/>
      <c r="B15" s="63"/>
      <c r="C15" s="56"/>
      <c r="F15" s="53"/>
      <c r="G15" s="52"/>
      <c r="H15" s="54"/>
      <c r="BI15" s="3">
        <f t="shared" si="4"/>
        <v>1.0833333333333333</v>
      </c>
      <c r="BJ15" s="1">
        <f t="shared" si="5"/>
        <v>208801.82539991682</v>
      </c>
      <c r="BK15" s="1">
        <f t="shared" si="6"/>
        <v>208537.69072565855</v>
      </c>
      <c r="BL15" s="26">
        <f t="shared" si="0"/>
        <v>1</v>
      </c>
      <c r="BM15" s="26">
        <f t="shared" si="1"/>
        <v>1</v>
      </c>
      <c r="BN15">
        <f t="shared" si="2"/>
        <v>999</v>
      </c>
      <c r="BO15">
        <f t="shared" si="3"/>
        <v>999</v>
      </c>
    </row>
    <row r="16" spans="1:67" x14ac:dyDescent="0.25">
      <c r="A16" s="57"/>
      <c r="B16" s="63"/>
      <c r="C16" s="56"/>
      <c r="F16" s="52"/>
      <c r="G16" s="52"/>
      <c r="H16" s="52"/>
      <c r="I16" s="33"/>
      <c r="BI16" s="3">
        <f t="shared" si="4"/>
        <v>1.1666666666666665</v>
      </c>
      <c r="BJ16" s="1">
        <f t="shared" si="5"/>
        <v>208519.93019159161</v>
      </c>
      <c r="BK16" s="1">
        <f t="shared" si="6"/>
        <v>208235.10216381343</v>
      </c>
      <c r="BL16" s="26">
        <f t="shared" si="0"/>
        <v>1</v>
      </c>
      <c r="BM16" s="26">
        <f t="shared" si="1"/>
        <v>1</v>
      </c>
      <c r="BN16">
        <f t="shared" si="2"/>
        <v>999</v>
      </c>
      <c r="BO16">
        <f t="shared" si="3"/>
        <v>999</v>
      </c>
    </row>
    <row r="17" spans="1:67" x14ac:dyDescent="0.25">
      <c r="A17" s="57"/>
      <c r="B17" s="63"/>
      <c r="C17" s="56"/>
      <c r="F17" s="52"/>
      <c r="G17" s="52"/>
      <c r="H17" s="52"/>
      <c r="BI17" s="3">
        <f t="shared" si="4"/>
        <v>1.2499999999999998</v>
      </c>
      <c r="BJ17" s="1">
        <f t="shared" si="5"/>
        <v>208237.29500834458</v>
      </c>
      <c r="BK17" s="1">
        <f t="shared" si="6"/>
        <v>207931.71930699344</v>
      </c>
      <c r="BL17" s="26">
        <f t="shared" si="0"/>
        <v>1</v>
      </c>
      <c r="BM17" s="26">
        <f t="shared" si="1"/>
        <v>1</v>
      </c>
      <c r="BN17">
        <f t="shared" si="2"/>
        <v>999</v>
      </c>
      <c r="BO17">
        <f t="shared" si="3"/>
        <v>999</v>
      </c>
    </row>
    <row r="18" spans="1:67" x14ac:dyDescent="0.25">
      <c r="A18" s="57"/>
      <c r="B18" s="63"/>
      <c r="C18" s="56"/>
      <c r="F18" s="55"/>
      <c r="G18" s="56"/>
      <c r="H18" s="57"/>
      <c r="I18" s="26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">
        <f t="shared" si="4"/>
        <v>1.333333333333333</v>
      </c>
      <c r="BJ18" s="1">
        <f t="shared" si="5"/>
        <v>207953.9179077415</v>
      </c>
      <c r="BK18" s="1">
        <f t="shared" si="6"/>
        <v>207627.54007017432</v>
      </c>
      <c r="BL18" s="26">
        <f t="shared" si="0"/>
        <v>1</v>
      </c>
      <c r="BM18" s="26">
        <f t="shared" si="1"/>
        <v>1</v>
      </c>
      <c r="BN18">
        <f t="shared" si="2"/>
        <v>999</v>
      </c>
      <c r="BO18">
        <f t="shared" si="3"/>
        <v>999</v>
      </c>
    </row>
    <row r="19" spans="1:67" x14ac:dyDescent="0.25">
      <c r="A19" s="57"/>
      <c r="B19" s="63"/>
      <c r="C19" s="56"/>
      <c r="F19" s="55"/>
      <c r="G19" s="56"/>
      <c r="H19" s="57"/>
      <c r="I19" s="26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">
        <f t="shared" si="4"/>
        <v>1.4166666666666663</v>
      </c>
      <c r="BJ19" s="1">
        <f t="shared" si="5"/>
        <v>207669.79694224935</v>
      </c>
      <c r="BK19" s="1">
        <f t="shared" si="6"/>
        <v>207322.56236285856</v>
      </c>
      <c r="BL19" s="26">
        <f t="shared" si="0"/>
        <v>1</v>
      </c>
      <c r="BM19" s="26">
        <f t="shared" si="1"/>
        <v>1</v>
      </c>
      <c r="BN19">
        <f t="shared" si="2"/>
        <v>999</v>
      </c>
      <c r="BO19">
        <f t="shared" si="3"/>
        <v>999</v>
      </c>
    </row>
    <row r="20" spans="1:67" x14ac:dyDescent="0.25">
      <c r="A20" s="57"/>
      <c r="B20" s="63"/>
      <c r="C20" s="56"/>
      <c r="F20" s="52"/>
      <c r="G20" s="52"/>
      <c r="H20" s="57"/>
      <c r="I20" s="26"/>
      <c r="BI20" s="3">
        <f t="shared" si="4"/>
        <v>1.4999999999999996</v>
      </c>
      <c r="BJ20" s="1">
        <f t="shared" si="5"/>
        <v>207384.93015922277</v>
      </c>
      <c r="BK20" s="1">
        <f t="shared" si="6"/>
        <v>207016.78408906108</v>
      </c>
      <c r="BL20" s="26">
        <f t="shared" si="0"/>
        <v>1</v>
      </c>
      <c r="BM20" s="26">
        <f t="shared" si="1"/>
        <v>1</v>
      </c>
      <c r="BN20">
        <f t="shared" si="2"/>
        <v>999</v>
      </c>
      <c r="BO20">
        <f t="shared" si="3"/>
        <v>999</v>
      </c>
    </row>
    <row r="21" spans="1:67" x14ac:dyDescent="0.25">
      <c r="A21" s="57"/>
      <c r="B21" s="63"/>
      <c r="C21" s="56"/>
      <c r="F21" s="55"/>
      <c r="G21" s="52"/>
      <c r="H21" s="57"/>
      <c r="I21" s="26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">
        <f t="shared" si="4"/>
        <v>1.5833333333333328</v>
      </c>
      <c r="BJ21" s="1">
        <f t="shared" si="5"/>
        <v>207099.31560089075</v>
      </c>
      <c r="BK21" s="1">
        <f t="shared" si="6"/>
        <v>206710.2031472949</v>
      </c>
      <c r="BL21" s="26">
        <f t="shared" si="0"/>
        <v>1</v>
      </c>
      <c r="BM21" s="26">
        <f t="shared" si="1"/>
        <v>1</v>
      </c>
      <c r="BN21">
        <f t="shared" si="2"/>
        <v>999</v>
      </c>
      <c r="BO21">
        <f t="shared" si="3"/>
        <v>999</v>
      </c>
    </row>
    <row r="22" spans="1:67" x14ac:dyDescent="0.25">
      <c r="A22" s="57"/>
      <c r="B22" s="63"/>
      <c r="C22" s="56"/>
      <c r="F22" s="55"/>
      <c r="G22" s="58"/>
      <c r="H22" s="58"/>
      <c r="BI22" s="3">
        <f t="shared" si="4"/>
        <v>1.6666666666666661</v>
      </c>
      <c r="BJ22" s="1">
        <f t="shared" si="5"/>
        <v>206812.95130434312</v>
      </c>
      <c r="BK22" s="1">
        <f t="shared" si="6"/>
        <v>206402.81743055658</v>
      </c>
      <c r="BL22" s="26">
        <f t="shared" si="0"/>
        <v>1</v>
      </c>
      <c r="BM22" s="26">
        <f t="shared" si="1"/>
        <v>1</v>
      </c>
      <c r="BN22">
        <f t="shared" si="2"/>
        <v>999</v>
      </c>
      <c r="BO22">
        <f t="shared" si="3"/>
        <v>999</v>
      </c>
    </row>
    <row r="23" spans="1:67" x14ac:dyDescent="0.25">
      <c r="A23" s="57"/>
      <c r="B23" s="63"/>
      <c r="C23" s="56"/>
      <c r="F23" s="52"/>
      <c r="G23" s="52"/>
      <c r="H23" s="52"/>
      <c r="BI23" s="3">
        <f t="shared" si="4"/>
        <v>1.7499999999999993</v>
      </c>
      <c r="BJ23" s="1">
        <f t="shared" si="5"/>
        <v>206525.83530151704</v>
      </c>
      <c r="BK23" s="1">
        <f t="shared" si="6"/>
        <v>206094.6248263118</v>
      </c>
      <c r="BL23" s="26">
        <f t="shared" si="0"/>
        <v>1</v>
      </c>
      <c r="BM23" s="26">
        <f t="shared" si="1"/>
        <v>1</v>
      </c>
      <c r="BN23">
        <f t="shared" si="2"/>
        <v>999</v>
      </c>
      <c r="BO23">
        <f t="shared" si="3"/>
        <v>999</v>
      </c>
    </row>
    <row r="24" spans="1:67" x14ac:dyDescent="0.25">
      <c r="A24" s="57"/>
      <c r="B24" s="63"/>
      <c r="C24" s="56"/>
      <c r="F24" s="59"/>
      <c r="G24" s="59"/>
      <c r="H24" s="52"/>
      <c r="BI24" s="3">
        <f t="shared" si="4"/>
        <v>1.8333333333333326</v>
      </c>
      <c r="BJ24" s="1">
        <f t="shared" si="5"/>
        <v>206237.96561918355</v>
      </c>
      <c r="BK24" s="1">
        <f t="shared" si="6"/>
        <v>205785.62321648089</v>
      </c>
      <c r="BL24" s="26">
        <f t="shared" si="0"/>
        <v>1</v>
      </c>
      <c r="BM24" s="26">
        <f t="shared" si="1"/>
        <v>1</v>
      </c>
      <c r="BN24">
        <f t="shared" si="2"/>
        <v>999</v>
      </c>
      <c r="BO24">
        <f t="shared" si="3"/>
        <v>999</v>
      </c>
    </row>
    <row r="25" spans="1:67" x14ac:dyDescent="0.25">
      <c r="A25" s="57"/>
      <c r="B25" s="63"/>
      <c r="C25" s="56"/>
      <c r="F25" s="60"/>
      <c r="G25" s="59"/>
      <c r="H25" s="52"/>
      <c r="BI25" s="3">
        <f t="shared" si="4"/>
        <v>1.9166666666666659</v>
      </c>
      <c r="BJ25" s="1">
        <f t="shared" si="5"/>
        <v>205949.34027893393</v>
      </c>
      <c r="BK25" s="1">
        <f t="shared" si="6"/>
        <v>205475.81047742418</v>
      </c>
      <c r="BL25" s="26">
        <f t="shared" si="0"/>
        <v>1</v>
      </c>
      <c r="BM25" s="26">
        <f t="shared" si="1"/>
        <v>1</v>
      </c>
      <c r="BN25">
        <f t="shared" si="2"/>
        <v>999</v>
      </c>
      <c r="BO25">
        <f t="shared" si="3"/>
        <v>999</v>
      </c>
    </row>
    <row r="26" spans="1:67" x14ac:dyDescent="0.25">
      <c r="A26" s="57"/>
      <c r="B26" s="63"/>
      <c r="C26" s="56"/>
      <c r="F26" s="60"/>
      <c r="G26" s="57"/>
      <c r="H26" s="52"/>
      <c r="BI26" s="3">
        <f t="shared" si="4"/>
        <v>1.9999999999999991</v>
      </c>
      <c r="BJ26" s="1">
        <f t="shared" si="5"/>
        <v>205659.95729716614</v>
      </c>
      <c r="BK26" s="1">
        <f t="shared" si="6"/>
        <v>205165.18447992744</v>
      </c>
      <c r="BL26" s="26">
        <f t="shared" si="0"/>
        <v>1</v>
      </c>
      <c r="BM26" s="26">
        <f t="shared" si="1"/>
        <v>1</v>
      </c>
      <c r="BN26">
        <f t="shared" si="2"/>
        <v>999</v>
      </c>
      <c r="BO26">
        <f t="shared" si="3"/>
        <v>999</v>
      </c>
    </row>
    <row r="27" spans="1:67" x14ac:dyDescent="0.25">
      <c r="A27" s="57"/>
      <c r="B27" s="63"/>
      <c r="C27" s="56"/>
      <c r="F27" s="60"/>
      <c r="G27" s="59"/>
      <c r="H27" s="52"/>
      <c r="BI27" s="3">
        <f t="shared" si="4"/>
        <v>2.0833333333333326</v>
      </c>
      <c r="BJ27" s="1">
        <f t="shared" si="5"/>
        <v>205369.81468507121</v>
      </c>
      <c r="BK27" s="1">
        <f t="shared" si="6"/>
        <v>204853.74308918728</v>
      </c>
      <c r="BL27" s="26">
        <f t="shared" si="0"/>
        <v>1</v>
      </c>
      <c r="BM27" s="26">
        <f t="shared" si="1"/>
        <v>1</v>
      </c>
      <c r="BN27">
        <f t="shared" si="2"/>
        <v>999</v>
      </c>
      <c r="BO27">
        <f t="shared" si="3"/>
        <v>999</v>
      </c>
    </row>
    <row r="28" spans="1:67" x14ac:dyDescent="0.25">
      <c r="A28" s="57"/>
      <c r="B28" s="63"/>
      <c r="C28" s="56"/>
      <c r="F28" s="60"/>
      <c r="G28" s="52"/>
      <c r="H28" s="52"/>
      <c r="BI28" s="3">
        <f t="shared" si="4"/>
        <v>2.1666666666666661</v>
      </c>
      <c r="BJ28" s="1">
        <f t="shared" si="5"/>
        <v>205078.91044861954</v>
      </c>
      <c r="BK28" s="1">
        <f t="shared" si="6"/>
        <v>204541.48416479642</v>
      </c>
      <c r="BL28" s="26">
        <f t="shared" si="0"/>
        <v>1</v>
      </c>
      <c r="BM28" s="26">
        <f t="shared" si="1"/>
        <v>1</v>
      </c>
      <c r="BN28">
        <f t="shared" si="2"/>
        <v>999</v>
      </c>
      <c r="BO28">
        <f t="shared" si="3"/>
        <v>999</v>
      </c>
    </row>
    <row r="29" spans="1:67" x14ac:dyDescent="0.25">
      <c r="A29" s="57"/>
      <c r="B29" s="63"/>
      <c r="C29" s="56"/>
      <c r="F29" s="52"/>
      <c r="G29" s="52"/>
      <c r="H29" s="52"/>
      <c r="BI29" s="3">
        <f t="shared" si="4"/>
        <v>2.2499999999999996</v>
      </c>
      <c r="BJ29" s="1">
        <f t="shared" si="5"/>
        <v>204787.2425885472</v>
      </c>
      <c r="BK29" s="1">
        <f t="shared" si="6"/>
        <v>204228.40556072904</v>
      </c>
      <c r="BL29" s="26">
        <f t="shared" si="0"/>
        <v>1</v>
      </c>
      <c r="BM29" s="26">
        <f t="shared" si="1"/>
        <v>1</v>
      </c>
      <c r="BN29">
        <f t="shared" si="2"/>
        <v>999</v>
      </c>
      <c r="BO29">
        <f t="shared" si="3"/>
        <v>999</v>
      </c>
    </row>
    <row r="30" spans="1:67" x14ac:dyDescent="0.25">
      <c r="A30" s="57"/>
      <c r="B30" s="63"/>
      <c r="C30" s="56"/>
      <c r="F30" s="52"/>
      <c r="G30" s="52"/>
      <c r="H30" s="52"/>
      <c r="BI30" s="3">
        <f t="shared" si="4"/>
        <v>2.333333333333333</v>
      </c>
      <c r="BJ30" s="1">
        <f t="shared" si="5"/>
        <v>204494.80910034216</v>
      </c>
      <c r="BK30" s="1">
        <f t="shared" si="6"/>
        <v>203914.50512532596</v>
      </c>
      <c r="BL30" s="26">
        <f t="shared" si="0"/>
        <v>1</v>
      </c>
      <c r="BM30" s="26">
        <f t="shared" si="1"/>
        <v>1</v>
      </c>
      <c r="BN30">
        <f t="shared" si="2"/>
        <v>999</v>
      </c>
      <c r="BO30">
        <f t="shared" si="3"/>
        <v>999</v>
      </c>
    </row>
    <row r="31" spans="1:67" x14ac:dyDescent="0.25">
      <c r="A31" s="57"/>
      <c r="B31" s="63"/>
      <c r="C31" s="56"/>
      <c r="F31" s="52"/>
      <c r="G31" s="52"/>
      <c r="H31" s="52"/>
      <c r="BI31" s="3">
        <f t="shared" si="4"/>
        <v>2.4166666666666665</v>
      </c>
      <c r="BJ31" s="1">
        <f t="shared" si="5"/>
        <v>204201.60797423057</v>
      </c>
      <c r="BK31" s="1">
        <f t="shared" si="6"/>
        <v>203599.78070127996</v>
      </c>
      <c r="BL31" s="26">
        <f t="shared" si="0"/>
        <v>1</v>
      </c>
      <c r="BM31" s="26">
        <f t="shared" si="1"/>
        <v>1</v>
      </c>
      <c r="BN31">
        <f t="shared" si="2"/>
        <v>999</v>
      </c>
      <c r="BO31">
        <f t="shared" si="3"/>
        <v>999</v>
      </c>
    </row>
    <row r="32" spans="1:67" x14ac:dyDescent="0.25">
      <c r="A32" s="57"/>
      <c r="B32" s="63"/>
      <c r="C32" s="56"/>
      <c r="F32" s="52"/>
      <c r="G32" s="52"/>
      <c r="H32" s="52"/>
      <c r="BI32" s="3">
        <f t="shared" si="4"/>
        <v>2.5</v>
      </c>
      <c r="BJ32" s="1">
        <f t="shared" si="5"/>
        <v>203907.63719516294</v>
      </c>
      <c r="BK32" s="1">
        <f t="shared" si="6"/>
        <v>203284.23012562084</v>
      </c>
      <c r="BL32" s="26">
        <f t="shared" si="0"/>
        <v>1</v>
      </c>
      <c r="BM32" s="26">
        <f t="shared" si="1"/>
        <v>1</v>
      </c>
      <c r="BN32">
        <f t="shared" si="2"/>
        <v>999</v>
      </c>
      <c r="BO32">
        <f t="shared" si="3"/>
        <v>999</v>
      </c>
    </row>
    <row r="33" spans="1:67" x14ac:dyDescent="0.25">
      <c r="A33" s="57"/>
      <c r="B33" s="63"/>
      <c r="C33" s="56"/>
      <c r="F33" s="52"/>
      <c r="G33" s="52"/>
      <c r="H33" s="52"/>
      <c r="BI33" s="3">
        <f t="shared" si="4"/>
        <v>2.5833333333333335</v>
      </c>
      <c r="BJ33" s="1">
        <f t="shared" si="5"/>
        <v>203612.89474280027</v>
      </c>
      <c r="BK33" s="1">
        <f t="shared" si="6"/>
        <v>202967.85122970061</v>
      </c>
      <c r="BL33" s="26">
        <f t="shared" si="0"/>
        <v>1</v>
      </c>
      <c r="BM33" s="26">
        <f t="shared" si="1"/>
        <v>1</v>
      </c>
      <c r="BN33">
        <f t="shared" si="2"/>
        <v>999</v>
      </c>
      <c r="BO33">
        <f t="shared" si="3"/>
        <v>999</v>
      </c>
    </row>
    <row r="34" spans="1:67" x14ac:dyDescent="0.25">
      <c r="A34" s="57"/>
      <c r="B34" s="63"/>
      <c r="C34" s="56"/>
      <c r="G34" s="35"/>
      <c r="BI34" s="3">
        <f t="shared" si="4"/>
        <v>2.666666666666667</v>
      </c>
      <c r="BJ34" s="1">
        <f t="shared" si="5"/>
        <v>203317.37859150014</v>
      </c>
      <c r="BK34" s="1">
        <f t="shared" si="6"/>
        <v>202650.6418391786</v>
      </c>
      <c r="BL34" s="26">
        <f t="shared" si="0"/>
        <v>1</v>
      </c>
      <c r="BM34" s="26">
        <f t="shared" si="1"/>
        <v>1</v>
      </c>
      <c r="BN34">
        <f t="shared" si="2"/>
        <v>999</v>
      </c>
      <c r="BO34">
        <f t="shared" si="3"/>
        <v>999</v>
      </c>
    </row>
    <row r="35" spans="1:67" x14ac:dyDescent="0.25">
      <c r="A35" s="57"/>
      <c r="B35" s="63"/>
      <c r="C35" s="56"/>
      <c r="G35" s="4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I35" s="3">
        <f t="shared" si="4"/>
        <v>2.7500000000000004</v>
      </c>
      <c r="BJ35" s="1">
        <f t="shared" si="5"/>
        <v>203021.08671030286</v>
      </c>
      <c r="BK35" s="1">
        <f t="shared" si="6"/>
        <v>202332.59977400646</v>
      </c>
      <c r="BL35" s="26">
        <f t="shared" si="0"/>
        <v>1</v>
      </c>
      <c r="BM35" s="26">
        <f t="shared" si="1"/>
        <v>1</v>
      </c>
      <c r="BN35">
        <f t="shared" si="2"/>
        <v>999</v>
      </c>
      <c r="BO35">
        <f t="shared" si="3"/>
        <v>999</v>
      </c>
    </row>
    <row r="36" spans="1:67" x14ac:dyDescent="0.25">
      <c r="A36" s="57"/>
      <c r="B36" s="63"/>
      <c r="C36" s="56"/>
      <c r="G36" s="4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I36" s="3">
        <f t="shared" si="4"/>
        <v>2.8333333333333339</v>
      </c>
      <c r="BJ36" s="1">
        <f t="shared" si="5"/>
        <v>202724.01706291741</v>
      </c>
      <c r="BK36" s="1">
        <f t="shared" si="6"/>
        <v>202013.72284841325</v>
      </c>
      <c r="BL36" s="26">
        <f t="shared" si="0"/>
        <v>1</v>
      </c>
      <c r="BM36" s="26">
        <f t="shared" si="1"/>
        <v>1</v>
      </c>
      <c r="BN36">
        <f t="shared" si="2"/>
        <v>999</v>
      </c>
      <c r="BO36">
        <f t="shared" si="3"/>
        <v>999</v>
      </c>
    </row>
    <row r="37" spans="1:67" x14ac:dyDescent="0.25">
      <c r="A37" s="57"/>
      <c r="B37" s="63"/>
      <c r="C37" s="56"/>
      <c r="G37" s="4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I37" s="3">
        <f t="shared" si="4"/>
        <v>2.9166666666666674</v>
      </c>
      <c r="BJ37" s="1">
        <f t="shared" si="5"/>
        <v>202426.16760770758</v>
      </c>
      <c r="BK37" s="1">
        <f t="shared" si="6"/>
        <v>201694.00887089036</v>
      </c>
      <c r="BL37" s="26">
        <f t="shared" si="0"/>
        <v>1</v>
      </c>
      <c r="BM37" s="26">
        <f t="shared" si="1"/>
        <v>1</v>
      </c>
      <c r="BN37">
        <f t="shared" si="2"/>
        <v>999</v>
      </c>
      <c r="BO37">
        <f t="shared" si="3"/>
        <v>999</v>
      </c>
    </row>
    <row r="38" spans="1:67" x14ac:dyDescent="0.25">
      <c r="A38" s="57"/>
      <c r="B38" s="63"/>
      <c r="C38" s="56"/>
      <c r="G38" s="4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I38" s="3">
        <f t="shared" si="4"/>
        <v>3.0000000000000009</v>
      </c>
      <c r="BJ38" s="1">
        <f t="shared" si="5"/>
        <v>202127.53629767784</v>
      </c>
      <c r="BK38" s="1">
        <f t="shared" si="6"/>
        <v>201373.45564417646</v>
      </c>
      <c r="BL38" s="26">
        <f t="shared" si="0"/>
        <v>1</v>
      </c>
      <c r="BM38" s="26">
        <f t="shared" si="1"/>
        <v>1</v>
      </c>
      <c r="BN38">
        <f t="shared" si="2"/>
        <v>999</v>
      </c>
      <c r="BO38">
        <f t="shared" si="3"/>
        <v>999</v>
      </c>
    </row>
    <row r="39" spans="1:67" x14ac:dyDescent="0.25">
      <c r="A39" s="57"/>
      <c r="B39" s="63"/>
      <c r="C39" s="56"/>
      <c r="G39" s="4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I39" s="3">
        <f t="shared" si="4"/>
        <v>3.0833333333333344</v>
      </c>
      <c r="BJ39" s="1">
        <f t="shared" si="5"/>
        <v>201828.12108045927</v>
      </c>
      <c r="BK39" s="1">
        <f t="shared" si="6"/>
        <v>201052.06096524245</v>
      </c>
      <c r="BL39" s="26">
        <f t="shared" si="0"/>
        <v>1</v>
      </c>
      <c r="BM39" s="26">
        <f t="shared" si="1"/>
        <v>1</v>
      </c>
      <c r="BN39">
        <f t="shared" si="2"/>
        <v>999</v>
      </c>
      <c r="BO39">
        <f t="shared" si="3"/>
        <v>999</v>
      </c>
    </row>
    <row r="40" spans="1:67" x14ac:dyDescent="0.25">
      <c r="A40" s="57"/>
      <c r="B40" s="63"/>
      <c r="C40" s="56"/>
      <c r="G40" s="4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I40" s="3">
        <f t="shared" si="4"/>
        <v>3.1666666666666679</v>
      </c>
      <c r="BJ40" s="1">
        <f t="shared" si="5"/>
        <v>201527.91989829548</v>
      </c>
      <c r="BK40" s="1">
        <f t="shared" si="6"/>
        <v>200729.82262527623</v>
      </c>
      <c r="BL40" s="26">
        <f t="shared" si="0"/>
        <v>1</v>
      </c>
      <c r="BM40" s="26">
        <f t="shared" si="1"/>
        <v>1</v>
      </c>
      <c r="BN40">
        <f t="shared" si="2"/>
        <v>999</v>
      </c>
      <c r="BO40">
        <f t="shared" si="3"/>
        <v>999</v>
      </c>
    </row>
    <row r="41" spans="1:67" x14ac:dyDescent="0.25">
      <c r="A41" s="57"/>
      <c r="B41" s="63"/>
      <c r="C41" s="56"/>
      <c r="G41" s="4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I41" s="3">
        <f t="shared" si="4"/>
        <v>3.2500000000000013</v>
      </c>
      <c r="BJ41" s="1">
        <f t="shared" si="5"/>
        <v>201226.93068802854</v>
      </c>
      <c r="BK41" s="1">
        <f t="shared" si="6"/>
        <v>200406.7384096676</v>
      </c>
      <c r="BL41" s="26">
        <f t="shared" si="0"/>
        <v>1</v>
      </c>
      <c r="BM41" s="26">
        <f t="shared" si="1"/>
        <v>1</v>
      </c>
      <c r="BN41">
        <f t="shared" si="2"/>
        <v>999</v>
      </c>
      <c r="BO41">
        <f t="shared" si="3"/>
        <v>999</v>
      </c>
    </row>
    <row r="42" spans="1:67" x14ac:dyDescent="0.25">
      <c r="A42" s="57"/>
      <c r="B42" s="63"/>
      <c r="C42" s="56"/>
      <c r="G42" s="4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I42" s="3">
        <f t="shared" si="4"/>
        <v>3.3333333333333348</v>
      </c>
      <c r="BJ42" s="1">
        <f t="shared" si="5"/>
        <v>200925.15138108464</v>
      </c>
      <c r="BK42" s="1">
        <f t="shared" si="6"/>
        <v>200082.80609799299</v>
      </c>
      <c r="BL42" s="26">
        <f t="shared" si="0"/>
        <v>1</v>
      </c>
      <c r="BM42" s="26">
        <f t="shared" si="1"/>
        <v>1</v>
      </c>
      <c r="BN42">
        <f t="shared" si="2"/>
        <v>999</v>
      </c>
      <c r="BO42">
        <f t="shared" si="3"/>
        <v>999</v>
      </c>
    </row>
    <row r="43" spans="1:67" x14ac:dyDescent="0.25">
      <c r="A43" s="57"/>
      <c r="B43" s="63"/>
      <c r="C43" s="56"/>
      <c r="G43" s="4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I43" s="3">
        <f t="shared" si="4"/>
        <v>3.4166666666666683</v>
      </c>
      <c r="BJ43" s="1">
        <f t="shared" si="5"/>
        <v>200622.57990345999</v>
      </c>
      <c r="BK43" s="1">
        <f t="shared" si="6"/>
        <v>199758.02346400023</v>
      </c>
      <c r="BL43" s="26">
        <f t="shared" si="0"/>
        <v>1</v>
      </c>
      <c r="BM43" s="26">
        <f t="shared" si="1"/>
        <v>1</v>
      </c>
      <c r="BN43">
        <f t="shared" si="2"/>
        <v>999</v>
      </c>
      <c r="BO43">
        <f t="shared" si="3"/>
        <v>999</v>
      </c>
    </row>
    <row r="44" spans="1:67" x14ac:dyDescent="0.25">
      <c r="A44" s="57"/>
      <c r="B44" s="63"/>
      <c r="C44" s="56"/>
      <c r="G44" s="4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I44" s="3">
        <f t="shared" si="4"/>
        <v>3.5000000000000018</v>
      </c>
      <c r="BJ44" s="1">
        <f t="shared" si="5"/>
        <v>200319.21417570658</v>
      </c>
      <c r="BK44" s="1">
        <f t="shared" si="6"/>
        <v>199432.38827559326</v>
      </c>
      <c r="BL44" s="26">
        <f t="shared" si="0"/>
        <v>1</v>
      </c>
      <c r="BM44" s="26">
        <f t="shared" si="1"/>
        <v>1</v>
      </c>
      <c r="BN44">
        <f t="shared" si="2"/>
        <v>999</v>
      </c>
      <c r="BO44">
        <f t="shared" si="3"/>
        <v>999</v>
      </c>
    </row>
    <row r="45" spans="1:67" x14ac:dyDescent="0.25">
      <c r="A45" s="57"/>
      <c r="B45" s="63"/>
      <c r="C45" s="56"/>
      <c r="G45" s="4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I45" s="3">
        <f t="shared" si="4"/>
        <v>3.5833333333333353</v>
      </c>
      <c r="BJ45" s="1">
        <f t="shared" si="5"/>
        <v>200015.05211291782</v>
      </c>
      <c r="BK45" s="1">
        <f t="shared" si="6"/>
        <v>199105.8982948167</v>
      </c>
      <c r="BL45" s="26">
        <f t="shared" si="0"/>
        <v>1</v>
      </c>
      <c r="BM45" s="26">
        <f t="shared" si="1"/>
        <v>1</v>
      </c>
      <c r="BN45">
        <f t="shared" si="2"/>
        <v>999</v>
      </c>
      <c r="BO45">
        <f t="shared" si="3"/>
        <v>999</v>
      </c>
    </row>
    <row r="46" spans="1:67" x14ac:dyDescent="0.25">
      <c r="A46" s="57"/>
      <c r="B46" s="63"/>
      <c r="C46" s="56"/>
      <c r="G46" s="4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I46" s="3">
        <f t="shared" si="4"/>
        <v>3.6666666666666687</v>
      </c>
      <c r="BJ46" s="1">
        <f t="shared" si="5"/>
        <v>199710.09162471426</v>
      </c>
      <c r="BK46" s="1">
        <f t="shared" si="6"/>
        <v>198778.5512778406</v>
      </c>
      <c r="BL46" s="26">
        <f t="shared" si="0"/>
        <v>1</v>
      </c>
      <c r="BM46" s="26">
        <f t="shared" si="1"/>
        <v>1</v>
      </c>
      <c r="BN46">
        <f t="shared" si="2"/>
        <v>999</v>
      </c>
      <c r="BO46">
        <f t="shared" si="3"/>
        <v>999</v>
      </c>
    </row>
    <row r="47" spans="1:67" x14ac:dyDescent="0.25">
      <c r="A47" s="57"/>
      <c r="B47" s="63"/>
      <c r="C47" s="56"/>
      <c r="G47" s="4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I47" s="3">
        <f t="shared" si="4"/>
        <v>3.7500000000000022</v>
      </c>
      <c r="BJ47" s="1">
        <f t="shared" si="5"/>
        <v>199404.33061522915</v>
      </c>
      <c r="BK47" s="1">
        <f t="shared" si="6"/>
        <v>198450.34497494495</v>
      </c>
      <c r="BL47" s="26">
        <f t="shared" si="0"/>
        <v>1</v>
      </c>
      <c r="BM47" s="26">
        <f t="shared" si="1"/>
        <v>1</v>
      </c>
      <c r="BN47">
        <f t="shared" si="2"/>
        <v>999</v>
      </c>
      <c r="BO47">
        <f t="shared" si="3"/>
        <v>999</v>
      </c>
    </row>
    <row r="48" spans="1:67" x14ac:dyDescent="0.25">
      <c r="A48" s="57"/>
      <c r="B48" s="63"/>
      <c r="C48" s="56"/>
      <c r="G48" s="4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I48" s="3">
        <f t="shared" si="4"/>
        <v>3.8333333333333357</v>
      </c>
      <c r="BJ48" s="1">
        <f t="shared" si="5"/>
        <v>199097.76698309413</v>
      </c>
      <c r="BK48" s="1">
        <f t="shared" si="6"/>
        <v>198121.2771305042</v>
      </c>
      <c r="BL48" s="26">
        <f t="shared" si="0"/>
        <v>1</v>
      </c>
      <c r="BM48" s="26">
        <f t="shared" si="1"/>
        <v>1</v>
      </c>
      <c r="BN48">
        <f t="shared" si="2"/>
        <v>999</v>
      </c>
      <c r="BO48">
        <f t="shared" si="3"/>
        <v>999</v>
      </c>
    </row>
    <row r="49" spans="1:67" x14ac:dyDescent="0.25">
      <c r="A49" s="57"/>
      <c r="B49" s="63"/>
      <c r="C49" s="56"/>
      <c r="G49" s="4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I49" s="3">
        <f t="shared" si="4"/>
        <v>3.9166666666666692</v>
      </c>
      <c r="BJ49" s="1">
        <f t="shared" si="5"/>
        <v>198790.39862142477</v>
      </c>
      <c r="BK49" s="1">
        <f t="shared" si="6"/>
        <v>197791.34548297178</v>
      </c>
      <c r="BL49" s="26">
        <f t="shared" si="0"/>
        <v>1</v>
      </c>
      <c r="BM49" s="26">
        <f t="shared" si="1"/>
        <v>1</v>
      </c>
      <c r="BN49">
        <f t="shared" si="2"/>
        <v>999</v>
      </c>
      <c r="BO49">
        <f t="shared" si="3"/>
        <v>999</v>
      </c>
    </row>
    <row r="50" spans="1:67" x14ac:dyDescent="0.25">
      <c r="A50" s="57"/>
      <c r="B50" s="63"/>
      <c r="C50" s="56"/>
      <c r="G50" s="4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I50" s="3">
        <f t="shared" si="4"/>
        <v>4.0000000000000027</v>
      </c>
      <c r="BJ50" s="1">
        <f t="shared" si="5"/>
        <v>198482.22341780603</v>
      </c>
      <c r="BK50" s="1">
        <f t="shared" si="6"/>
        <v>197460.5477648646</v>
      </c>
      <c r="BL50" s="26">
        <f t="shared" si="0"/>
        <v>1</v>
      </c>
      <c r="BM50" s="26">
        <f t="shared" si="1"/>
        <v>1</v>
      </c>
      <c r="BN50">
        <f t="shared" si="2"/>
        <v>999</v>
      </c>
      <c r="BO50">
        <f t="shared" si="3"/>
        <v>999</v>
      </c>
    </row>
    <row r="51" spans="1:67" x14ac:dyDescent="0.25">
      <c r="A51" s="57"/>
      <c r="B51" s="63"/>
      <c r="C51" s="56"/>
      <c r="G51" s="4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I51" s="3">
        <f t="shared" si="4"/>
        <v>4.0833333333333357</v>
      </c>
      <c r="BJ51" s="1">
        <f t="shared" si="5"/>
        <v>198173.23925427778</v>
      </c>
      <c r="BK51" s="1">
        <f t="shared" si="6"/>
        <v>197128.8817027474</v>
      </c>
      <c r="BL51" s="26">
        <f t="shared" si="0"/>
        <v>1</v>
      </c>
      <c r="BM51" s="26">
        <f t="shared" si="1"/>
        <v>1</v>
      </c>
      <c r="BN51">
        <f t="shared" si="2"/>
        <v>999</v>
      </c>
      <c r="BO51">
        <f t="shared" si="3"/>
        <v>999</v>
      </c>
    </row>
    <row r="52" spans="1:67" x14ac:dyDescent="0.25">
      <c r="A52" s="57"/>
      <c r="B52" s="63"/>
      <c r="C52" s="56"/>
      <c r="G52" s="4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I52" s="3">
        <f t="shared" si="4"/>
        <v>4.1666666666666687</v>
      </c>
      <c r="BJ52" s="1">
        <f t="shared" si="5"/>
        <v>197863.44400732027</v>
      </c>
      <c r="BK52" s="1">
        <f t="shared" si="6"/>
        <v>196796.34501721713</v>
      </c>
      <c r="BL52" s="26">
        <f t="shared" si="0"/>
        <v>1</v>
      </c>
      <c r="BM52" s="26">
        <f t="shared" si="1"/>
        <v>1</v>
      </c>
      <c r="BN52">
        <f t="shared" si="2"/>
        <v>999</v>
      </c>
      <c r="BO52">
        <f t="shared" si="3"/>
        <v>999</v>
      </c>
    </row>
    <row r="53" spans="1:67" x14ac:dyDescent="0.25">
      <c r="A53" s="57"/>
      <c r="B53" s="63"/>
      <c r="C53" s="56"/>
      <c r="G53" s="4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I53" s="3">
        <f t="shared" si="4"/>
        <v>4.2500000000000018</v>
      </c>
      <c r="BJ53" s="1">
        <f t="shared" si="5"/>
        <v>197552.8355478395</v>
      </c>
      <c r="BK53" s="1">
        <f t="shared" si="6"/>
        <v>196462.93542288736</v>
      </c>
      <c r="BL53" s="26">
        <f t="shared" si="0"/>
        <v>1</v>
      </c>
      <c r="BM53" s="26">
        <f t="shared" si="1"/>
        <v>1</v>
      </c>
      <c r="BN53">
        <f t="shared" si="2"/>
        <v>999</v>
      </c>
      <c r="BO53">
        <f t="shared" si="3"/>
        <v>999</v>
      </c>
    </row>
    <row r="54" spans="1:67" x14ac:dyDescent="0.25">
      <c r="A54" s="57"/>
      <c r="B54" s="63"/>
      <c r="C54" s="56"/>
      <c r="G54" s="4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I54" s="3">
        <f t="shared" si="4"/>
        <v>4.3333333333333348</v>
      </c>
      <c r="BJ54" s="1">
        <f t="shared" si="5"/>
        <v>197241.41174115258</v>
      </c>
      <c r="BK54" s="1">
        <f t="shared" si="6"/>
        <v>196128.65062837244</v>
      </c>
      <c r="BL54" s="26">
        <f t="shared" si="0"/>
        <v>1</v>
      </c>
      <c r="BM54" s="26">
        <f t="shared" si="1"/>
        <v>1</v>
      </c>
      <c r="BN54">
        <f t="shared" si="2"/>
        <v>999</v>
      </c>
      <c r="BO54">
        <f t="shared" si="3"/>
        <v>999</v>
      </c>
    </row>
    <row r="55" spans="1:67" x14ac:dyDescent="0.25">
      <c r="A55" s="57"/>
      <c r="B55" s="63"/>
      <c r="C55" s="56"/>
      <c r="G55" s="4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I55" s="3">
        <f t="shared" si="4"/>
        <v>4.4166666666666679</v>
      </c>
      <c r="BJ55" s="1">
        <f t="shared" si="5"/>
        <v>196929.17044697312</v>
      </c>
      <c r="BK55" s="1">
        <f t="shared" si="6"/>
        <v>195793.48833627196</v>
      </c>
      <c r="BL55" s="26">
        <f t="shared" si="0"/>
        <v>1</v>
      </c>
      <c r="BM55" s="26">
        <f t="shared" si="1"/>
        <v>1</v>
      </c>
      <c r="BN55">
        <f t="shared" si="2"/>
        <v>999</v>
      </c>
      <c r="BO55">
        <f t="shared" si="3"/>
        <v>999</v>
      </c>
    </row>
    <row r="56" spans="1:67" x14ac:dyDescent="0.25">
      <c r="A56" s="57"/>
      <c r="B56" s="63"/>
      <c r="C56" s="56"/>
      <c r="G56" s="4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I56" s="3">
        <f t="shared" si="4"/>
        <v>4.5000000000000009</v>
      </c>
      <c r="BJ56" s="1">
        <f t="shared" si="5"/>
        <v>196616.10951939644</v>
      </c>
      <c r="BK56" s="1">
        <f t="shared" si="6"/>
        <v>195457.4462431547</v>
      </c>
      <c r="BL56" s="26">
        <f t="shared" si="0"/>
        <v>1</v>
      </c>
      <c r="BM56" s="26">
        <f t="shared" si="1"/>
        <v>1</v>
      </c>
      <c r="BN56">
        <f t="shared" si="2"/>
        <v>999</v>
      </c>
      <c r="BO56">
        <f t="shared" si="3"/>
        <v>999</v>
      </c>
    </row>
    <row r="57" spans="1:67" x14ac:dyDescent="0.25">
      <c r="A57" s="57"/>
      <c r="B57" s="63"/>
      <c r="C57" s="56"/>
      <c r="G57" s="4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I57" s="3">
        <f t="shared" si="4"/>
        <v>4.5833333333333339</v>
      </c>
      <c r="BJ57" s="1">
        <f t="shared" si="5"/>
        <v>196302.22680688486</v>
      </c>
      <c r="BK57" s="1">
        <f t="shared" si="6"/>
        <v>195120.52203954299</v>
      </c>
      <c r="BL57" s="26">
        <f t="shared" si="0"/>
        <v>1</v>
      </c>
      <c r="BM57" s="26">
        <f t="shared" si="1"/>
        <v>1</v>
      </c>
      <c r="BN57">
        <f t="shared" si="2"/>
        <v>999</v>
      </c>
      <c r="BO57">
        <f t="shared" si="3"/>
        <v>999</v>
      </c>
    </row>
    <row r="58" spans="1:67" x14ac:dyDescent="0.25">
      <c r="A58" s="57"/>
      <c r="B58" s="63"/>
      <c r="C58" s="56"/>
      <c r="G58" s="4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I58" s="3">
        <f t="shared" si="4"/>
        <v>4.666666666666667</v>
      </c>
      <c r="BJ58" s="1">
        <f t="shared" si="5"/>
        <v>195987.52015225295</v>
      </c>
      <c r="BK58" s="1">
        <f t="shared" si="6"/>
        <v>194782.71340989682</v>
      </c>
      <c r="BL58" s="26">
        <f t="shared" si="0"/>
        <v>1</v>
      </c>
      <c r="BM58" s="26">
        <f t="shared" si="1"/>
        <v>1</v>
      </c>
      <c r="BN58">
        <f t="shared" si="2"/>
        <v>999</v>
      </c>
      <c r="BO58">
        <f t="shared" si="3"/>
        <v>999</v>
      </c>
    </row>
    <row r="59" spans="1:67" x14ac:dyDescent="0.25">
      <c r="A59" s="57"/>
      <c r="B59" s="63"/>
      <c r="C59" s="56"/>
      <c r="G59" s="4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I59" s="3">
        <f t="shared" si="4"/>
        <v>4.75</v>
      </c>
      <c r="BJ59" s="1">
        <f t="shared" si="5"/>
        <v>195671.98739265263</v>
      </c>
      <c r="BK59" s="1">
        <f t="shared" si="6"/>
        <v>194444.01803259781</v>
      </c>
      <c r="BL59" s="26">
        <f t="shared" si="0"/>
        <v>1</v>
      </c>
      <c r="BM59" s="26">
        <f t="shared" si="1"/>
        <v>1</v>
      </c>
      <c r="BN59">
        <f t="shared" si="2"/>
        <v>999</v>
      </c>
      <c r="BO59">
        <f t="shared" si="3"/>
        <v>999</v>
      </c>
    </row>
    <row r="60" spans="1:67" x14ac:dyDescent="0.25">
      <c r="A60" s="57"/>
      <c r="B60" s="63"/>
      <c r="C60" s="56"/>
      <c r="G60" s="4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I60" s="3">
        <f t="shared" si="4"/>
        <v>4.833333333333333</v>
      </c>
      <c r="BJ60" s="1">
        <f t="shared" si="5"/>
        <v>195355.62635955837</v>
      </c>
      <c r="BK60" s="1">
        <f t="shared" si="6"/>
        <v>194104.43357993339</v>
      </c>
      <c r="BL60" s="26">
        <f t="shared" si="0"/>
        <v>1</v>
      </c>
      <c r="BM60" s="26">
        <f t="shared" si="1"/>
        <v>1</v>
      </c>
      <c r="BN60">
        <f t="shared" si="2"/>
        <v>999</v>
      </c>
      <c r="BO60">
        <f t="shared" si="3"/>
        <v>999</v>
      </c>
    </row>
    <row r="61" spans="1:67" x14ac:dyDescent="0.25">
      <c r="A61" s="57"/>
      <c r="B61" s="63"/>
      <c r="C61" s="56"/>
      <c r="G61" s="4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I61" s="3">
        <f t="shared" si="4"/>
        <v>4.9166666666666661</v>
      </c>
      <c r="BJ61" s="1">
        <f t="shared" si="5"/>
        <v>195038.43487875225</v>
      </c>
      <c r="BK61" s="1">
        <f t="shared" si="6"/>
        <v>193763.95771808072</v>
      </c>
      <c r="BL61" s="26">
        <f t="shared" si="0"/>
        <v>1</v>
      </c>
      <c r="BM61" s="26">
        <f t="shared" si="1"/>
        <v>1</v>
      </c>
      <c r="BN61">
        <f t="shared" si="2"/>
        <v>999</v>
      </c>
      <c r="BO61">
        <f t="shared" si="3"/>
        <v>999</v>
      </c>
    </row>
    <row r="62" spans="1:67" x14ac:dyDescent="0.25">
      <c r="A62" s="57"/>
      <c r="B62" s="63"/>
      <c r="C62" s="56"/>
      <c r="G62" s="4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I62" s="3">
        <f t="shared" si="4"/>
        <v>4.9999999999999991</v>
      </c>
      <c r="BJ62" s="1">
        <f t="shared" si="5"/>
        <v>194720.41077030898</v>
      </c>
      <c r="BK62" s="1">
        <f t="shared" si="6"/>
        <v>193422.58810709071</v>
      </c>
      <c r="BL62" s="26">
        <f t="shared" si="0"/>
        <v>1</v>
      </c>
      <c r="BM62" s="26">
        <f t="shared" si="1"/>
        <v>1</v>
      </c>
      <c r="BN62">
        <f t="shared" si="2"/>
        <v>999</v>
      </c>
      <c r="BO62">
        <f t="shared" si="3"/>
        <v>999</v>
      </c>
    </row>
    <row r="63" spans="1:67" x14ac:dyDescent="0.25">
      <c r="A63" s="57"/>
      <c r="B63" s="63"/>
      <c r="C63" s="56"/>
      <c r="G63" s="4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I63" s="3">
        <f t="shared" si="4"/>
        <v>5.0833333333333321</v>
      </c>
      <c r="BJ63" s="1">
        <f t="shared" si="5"/>
        <v>194401.55184858106</v>
      </c>
      <c r="BK63" s="1">
        <f t="shared" si="6"/>
        <v>193080.32240087184</v>
      </c>
      <c r="BL63" s="26">
        <f t="shared" si="0"/>
        <v>1</v>
      </c>
      <c r="BM63" s="26">
        <f t="shared" si="1"/>
        <v>1</v>
      </c>
      <c r="BN63">
        <f t="shared" si="2"/>
        <v>999</v>
      </c>
      <c r="BO63">
        <f t="shared" si="3"/>
        <v>999</v>
      </c>
    </row>
    <row r="64" spans="1:67" x14ac:dyDescent="0.25">
      <c r="A64" s="57"/>
      <c r="B64" s="63"/>
      <c r="C64" s="56"/>
      <c r="G64" s="4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I64" s="3">
        <f t="shared" si="4"/>
        <v>5.1666666666666652</v>
      </c>
      <c r="BJ64" s="1">
        <f t="shared" si="5"/>
        <v>194081.8559221836</v>
      </c>
      <c r="BK64" s="1">
        <f t="shared" si="6"/>
        <v>192737.15824717414</v>
      </c>
      <c r="BL64" s="26">
        <f t="shared" si="0"/>
        <v>1</v>
      </c>
      <c r="BM64" s="26">
        <f t="shared" si="1"/>
        <v>1</v>
      </c>
      <c r="BN64">
        <f t="shared" si="2"/>
        <v>999</v>
      </c>
      <c r="BO64">
        <f t="shared" si="3"/>
        <v>999</v>
      </c>
    </row>
    <row r="65" spans="1:67" x14ac:dyDescent="0.25">
      <c r="A65" s="57"/>
      <c r="B65" s="63"/>
      <c r="C65" s="56"/>
      <c r="G65" s="4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I65" s="3">
        <f t="shared" si="4"/>
        <v>5.2499999999999982</v>
      </c>
      <c r="BJ65" s="1">
        <f t="shared" si="5"/>
        <v>193761.32079397936</v>
      </c>
      <c r="BK65" s="1">
        <f t="shared" si="6"/>
        <v>192393.09328757299</v>
      </c>
      <c r="BL65" s="26">
        <f t="shared" si="0"/>
        <v>1</v>
      </c>
      <c r="BM65" s="26">
        <f t="shared" si="1"/>
        <v>1</v>
      </c>
      <c r="BN65">
        <f t="shared" si="2"/>
        <v>999</v>
      </c>
      <c r="BO65">
        <f t="shared" si="3"/>
        <v>999</v>
      </c>
    </row>
    <row r="66" spans="1:67" x14ac:dyDescent="0.25">
      <c r="A66" s="57"/>
      <c r="B66" s="63"/>
      <c r="C66" s="56"/>
      <c r="G66" s="4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I66" s="3">
        <f t="shared" si="4"/>
        <v>5.3333333333333313</v>
      </c>
      <c r="BJ66" s="1">
        <f t="shared" si="5"/>
        <v>193439.94426106359</v>
      </c>
      <c r="BK66" s="1">
        <f t="shared" si="6"/>
        <v>192048.12515745289</v>
      </c>
      <c r="BL66" s="26">
        <f t="shared" ref="BL66:BL129" si="7">IF(BI66&gt;$G$12,0,1)</f>
        <v>1</v>
      </c>
      <c r="BM66" s="26">
        <f t="shared" ref="BM66:BM129" si="8">IF(AND(BL66&gt;0,BK66&gt;0),1,0)</f>
        <v>1</v>
      </c>
      <c r="BN66">
        <f t="shared" ref="BN66:BN129" si="9">IF(BK66&lt;0,BI66,999)</f>
        <v>999</v>
      </c>
      <c r="BO66">
        <f t="shared" ref="BO66:BO129" si="10">IF(BJ66&lt;0,BI66,999)</f>
        <v>999</v>
      </c>
    </row>
    <row r="67" spans="1:67" x14ac:dyDescent="0.25">
      <c r="A67" s="57"/>
      <c r="B67" s="63"/>
      <c r="C67" s="56"/>
      <c r="G67" s="4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I67" s="3">
        <f t="shared" ref="BI67:BI130" si="11">BI66+1/12</f>
        <v>5.4166666666666643</v>
      </c>
      <c r="BJ67" s="1">
        <f t="shared" ref="BJ67:BJ130" si="12">BJ66*(1+$C$4/12) - $C$3</f>
        <v>193117.72411474891</v>
      </c>
      <c r="BK67" s="1">
        <f t="shared" si="6"/>
        <v>191702.25148599123</v>
      </c>
      <c r="BL67" s="26">
        <f t="shared" si="7"/>
        <v>1</v>
      </c>
      <c r="BM67" s="26">
        <f t="shared" si="8"/>
        <v>1</v>
      </c>
      <c r="BN67">
        <f t="shared" si="9"/>
        <v>999</v>
      </c>
      <c r="BO67">
        <f t="shared" si="10"/>
        <v>999</v>
      </c>
    </row>
    <row r="68" spans="1:67" x14ac:dyDescent="0.25">
      <c r="A68" s="57"/>
      <c r="B68" s="63"/>
      <c r="C68" s="56"/>
      <c r="G68" s="4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I68" s="3">
        <f t="shared" si="11"/>
        <v>5.4999999999999973</v>
      </c>
      <c r="BJ68" s="1">
        <f t="shared" si="12"/>
        <v>192794.65814055013</v>
      </c>
      <c r="BK68" s="1">
        <f t="shared" ref="BK68:BK131" si="13">BK67*(1+$D$4/12)-$C$3-($D$3-$C$3)*BL68</f>
        <v>191355.46989614199</v>
      </c>
      <c r="BL68" s="26">
        <f t="shared" si="7"/>
        <v>1</v>
      </c>
      <c r="BM68" s="26">
        <f t="shared" si="8"/>
        <v>1</v>
      </c>
      <c r="BN68">
        <f t="shared" si="9"/>
        <v>999</v>
      </c>
      <c r="BO68">
        <f t="shared" si="10"/>
        <v>999</v>
      </c>
    </row>
    <row r="69" spans="1:67" x14ac:dyDescent="0.25">
      <c r="A69" s="57"/>
      <c r="B69" s="63"/>
      <c r="C69" s="56"/>
      <c r="G69" s="4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I69" s="3">
        <f t="shared" si="11"/>
        <v>5.5833333333333304</v>
      </c>
      <c r="BJ69" s="1">
        <f t="shared" si="12"/>
        <v>192470.7441181691</v>
      </c>
      <c r="BK69" s="1">
        <f t="shared" si="13"/>
        <v>191007.77800461938</v>
      </c>
      <c r="BL69" s="26">
        <f t="shared" si="7"/>
        <v>1</v>
      </c>
      <c r="BM69" s="26">
        <f t="shared" si="8"/>
        <v>1</v>
      </c>
      <c r="BN69">
        <f t="shared" si="9"/>
        <v>999</v>
      </c>
      <c r="BO69">
        <f t="shared" si="10"/>
        <v>999</v>
      </c>
    </row>
    <row r="70" spans="1:67" x14ac:dyDescent="0.25">
      <c r="A70" s="57"/>
      <c r="B70" s="63"/>
      <c r="C70" s="56"/>
      <c r="G70" s="4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I70" s="3">
        <f t="shared" si="11"/>
        <v>5.6666666666666634</v>
      </c>
      <c r="BJ70" s="1">
        <f t="shared" si="12"/>
        <v>192145.9798214793</v>
      </c>
      <c r="BK70" s="1">
        <f t="shared" si="13"/>
        <v>190659.17342188151</v>
      </c>
      <c r="BL70" s="26">
        <f t="shared" si="7"/>
        <v>1</v>
      </c>
      <c r="BM70" s="26">
        <f t="shared" si="8"/>
        <v>1</v>
      </c>
      <c r="BN70">
        <f t="shared" si="9"/>
        <v>999</v>
      </c>
      <c r="BO70">
        <f t="shared" si="10"/>
        <v>999</v>
      </c>
    </row>
    <row r="71" spans="1:67" x14ac:dyDescent="0.25">
      <c r="A71" s="57"/>
      <c r="B71" s="63"/>
      <c r="C71" s="56"/>
      <c r="G71" s="4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I71" s="3">
        <f t="shared" si="11"/>
        <v>5.7499999999999964</v>
      </c>
      <c r="BJ71" s="1">
        <f t="shared" si="12"/>
        <v>191820.36301851069</v>
      </c>
      <c r="BK71" s="1">
        <f t="shared" si="13"/>
        <v>190309.65375211395</v>
      </c>
      <c r="BL71" s="26">
        <f t="shared" si="7"/>
        <v>1</v>
      </c>
      <c r="BM71" s="26">
        <f t="shared" si="8"/>
        <v>1</v>
      </c>
      <c r="BN71">
        <f t="shared" si="9"/>
        <v>999</v>
      </c>
      <c r="BO71">
        <f t="shared" si="10"/>
        <v>999</v>
      </c>
    </row>
    <row r="72" spans="1:67" x14ac:dyDescent="0.25">
      <c r="A72" s="57"/>
      <c r="B72" s="63"/>
      <c r="C72" s="56"/>
      <c r="G72" s="4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I72" s="3">
        <f t="shared" si="11"/>
        <v>5.8333333333333295</v>
      </c>
      <c r="BJ72" s="1">
        <f t="shared" si="12"/>
        <v>191493.8914714343</v>
      </c>
      <c r="BK72" s="1">
        <f t="shared" si="13"/>
        <v>189959.21659321326</v>
      </c>
      <c r="BL72" s="26">
        <f t="shared" si="7"/>
        <v>1</v>
      </c>
      <c r="BM72" s="26">
        <f t="shared" si="8"/>
        <v>1</v>
      </c>
      <c r="BN72">
        <f t="shared" si="9"/>
        <v>999</v>
      </c>
      <c r="BO72">
        <f t="shared" si="10"/>
        <v>999</v>
      </c>
    </row>
    <row r="73" spans="1:67" x14ac:dyDescent="0.25">
      <c r="A73" s="57"/>
      <c r="B73" s="63"/>
      <c r="C73" s="56"/>
      <c r="G73" s="4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I73" s="3">
        <f t="shared" si="11"/>
        <v>5.9166666666666625</v>
      </c>
      <c r="BJ73" s="1">
        <f t="shared" si="12"/>
        <v>191166.56293654683</v>
      </c>
      <c r="BK73" s="1">
        <f t="shared" si="13"/>
        <v>189607.85953677047</v>
      </c>
      <c r="BL73" s="26">
        <f t="shared" si="7"/>
        <v>1</v>
      </c>
      <c r="BM73" s="26">
        <f t="shared" si="8"/>
        <v>1</v>
      </c>
      <c r="BN73">
        <f t="shared" si="9"/>
        <v>999</v>
      </c>
      <c r="BO73">
        <f t="shared" si="10"/>
        <v>999</v>
      </c>
    </row>
    <row r="74" spans="1:67" x14ac:dyDescent="0.25">
      <c r="A74" s="57"/>
      <c r="B74" s="63"/>
      <c r="C74" s="56"/>
      <c r="G74" s="4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I74" s="3">
        <f t="shared" si="11"/>
        <v>5.9999999999999956</v>
      </c>
      <c r="BJ74" s="1">
        <f t="shared" si="12"/>
        <v>190838.3751642553</v>
      </c>
      <c r="BK74" s="1">
        <f t="shared" si="13"/>
        <v>189255.5801680545</v>
      </c>
      <c r="BL74" s="26">
        <f t="shared" si="7"/>
        <v>1</v>
      </c>
      <c r="BM74" s="26">
        <f t="shared" si="8"/>
        <v>1</v>
      </c>
      <c r="BN74">
        <f t="shared" si="9"/>
        <v>999</v>
      </c>
      <c r="BO74">
        <f t="shared" si="10"/>
        <v>999</v>
      </c>
    </row>
    <row r="75" spans="1:67" x14ac:dyDescent="0.25">
      <c r="A75" s="57"/>
      <c r="B75" s="63"/>
      <c r="C75" s="56"/>
      <c r="G75" s="4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I75" s="3">
        <f t="shared" si="11"/>
        <v>6.0833333333333286</v>
      </c>
      <c r="BJ75" s="1">
        <f t="shared" si="12"/>
        <v>190509.32589906148</v>
      </c>
      <c r="BK75" s="1">
        <f t="shared" si="13"/>
        <v>188902.37606599566</v>
      </c>
      <c r="BL75" s="26">
        <f t="shared" si="7"/>
        <v>1</v>
      </c>
      <c r="BM75" s="26">
        <f t="shared" si="8"/>
        <v>1</v>
      </c>
      <c r="BN75">
        <f t="shared" si="9"/>
        <v>999</v>
      </c>
      <c r="BO75">
        <f t="shared" si="10"/>
        <v>999</v>
      </c>
    </row>
    <row r="76" spans="1:67" x14ac:dyDescent="0.25">
      <c r="A76" s="57"/>
      <c r="B76" s="63"/>
      <c r="C76" s="56"/>
      <c r="G76" s="4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I76" s="3">
        <f t="shared" si="11"/>
        <v>6.1666666666666616</v>
      </c>
      <c r="BJ76" s="1">
        <f t="shared" si="12"/>
        <v>190179.41287954655</v>
      </c>
      <c r="BK76" s="1">
        <f t="shared" si="13"/>
        <v>188548.24480316893</v>
      </c>
      <c r="BL76" s="26">
        <f t="shared" si="7"/>
        <v>1</v>
      </c>
      <c r="BM76" s="26">
        <f t="shared" si="8"/>
        <v>1</v>
      </c>
      <c r="BN76">
        <f t="shared" si="9"/>
        <v>999</v>
      </c>
      <c r="BO76">
        <f t="shared" si="10"/>
        <v>999</v>
      </c>
    </row>
    <row r="77" spans="1:67" x14ac:dyDescent="0.25">
      <c r="A77" s="57"/>
      <c r="B77" s="63"/>
      <c r="C77" s="56"/>
      <c r="G77" s="4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I77" s="3">
        <f t="shared" si="11"/>
        <v>6.2499999999999947</v>
      </c>
      <c r="BJ77" s="1">
        <f t="shared" si="12"/>
        <v>189848.63383835537</v>
      </c>
      <c r="BK77" s="1">
        <f t="shared" si="13"/>
        <v>188193.18394577727</v>
      </c>
      <c r="BL77" s="26">
        <f t="shared" si="7"/>
        <v>1</v>
      </c>
      <c r="BM77" s="26">
        <f t="shared" si="8"/>
        <v>1</v>
      </c>
      <c r="BN77">
        <f t="shared" si="9"/>
        <v>999</v>
      </c>
      <c r="BO77">
        <f t="shared" si="10"/>
        <v>999</v>
      </c>
    </row>
    <row r="78" spans="1:67" x14ac:dyDescent="0.25">
      <c r="A78" s="57"/>
      <c r="B78" s="63"/>
      <c r="C78" s="56"/>
      <c r="G78" s="4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I78" s="3">
        <f t="shared" si="11"/>
        <v>6.3333333333333277</v>
      </c>
      <c r="BJ78" s="1">
        <f t="shared" si="12"/>
        <v>189516.98650218107</v>
      </c>
      <c r="BK78" s="1">
        <f t="shared" si="13"/>
        <v>187837.19105363495</v>
      </c>
      <c r="BL78" s="26">
        <f t="shared" si="7"/>
        <v>1</v>
      </c>
      <c r="BM78" s="26">
        <f t="shared" si="8"/>
        <v>1</v>
      </c>
      <c r="BN78">
        <f t="shared" si="9"/>
        <v>999</v>
      </c>
      <c r="BO78">
        <f t="shared" si="10"/>
        <v>999</v>
      </c>
    </row>
    <row r="79" spans="1:67" x14ac:dyDescent="0.25">
      <c r="A79" s="57"/>
      <c r="B79" s="63"/>
      <c r="C79" s="56"/>
      <c r="G79" s="4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I79" s="3">
        <f t="shared" si="11"/>
        <v>6.4166666666666607</v>
      </c>
      <c r="BJ79" s="1">
        <f t="shared" si="12"/>
        <v>189184.46859174932</v>
      </c>
      <c r="BK79" s="1">
        <f t="shared" si="13"/>
        <v>187480.26368015076</v>
      </c>
      <c r="BL79" s="26">
        <f t="shared" si="7"/>
        <v>1</v>
      </c>
      <c r="BM79" s="26">
        <f t="shared" si="8"/>
        <v>1</v>
      </c>
      <c r="BN79">
        <f t="shared" si="9"/>
        <v>999</v>
      </c>
      <c r="BO79">
        <f t="shared" si="10"/>
        <v>999</v>
      </c>
    </row>
    <row r="80" spans="1:67" x14ac:dyDescent="0.25">
      <c r="A80" s="57"/>
      <c r="B80" s="63"/>
      <c r="C80" s="56"/>
      <c r="G80" s="4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I80" s="3">
        <f t="shared" si="11"/>
        <v>6.4999999999999938</v>
      </c>
      <c r="BJ80" s="1">
        <f t="shared" si="12"/>
        <v>188851.07782180267</v>
      </c>
      <c r="BK80" s="1">
        <f t="shared" si="13"/>
        <v>187122.39937231116</v>
      </c>
      <c r="BL80" s="26">
        <f t="shared" si="7"/>
        <v>1</v>
      </c>
      <c r="BM80" s="26">
        <f t="shared" si="8"/>
        <v>1</v>
      </c>
      <c r="BN80">
        <f t="shared" si="9"/>
        <v>999</v>
      </c>
      <c r="BO80">
        <f t="shared" si="10"/>
        <v>999</v>
      </c>
    </row>
    <row r="81" spans="1:67" x14ac:dyDescent="0.25">
      <c r="A81" s="57"/>
      <c r="B81" s="63"/>
      <c r="C81" s="56"/>
      <c r="G81" s="4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I81" s="3">
        <f t="shared" si="11"/>
        <v>6.5833333333333268</v>
      </c>
      <c r="BJ81" s="1">
        <f t="shared" si="12"/>
        <v>188516.81190108493</v>
      </c>
      <c r="BK81" s="1">
        <f t="shared" si="13"/>
        <v>186763.59567066349</v>
      </c>
      <c r="BL81" s="26">
        <f t="shared" si="7"/>
        <v>1</v>
      </c>
      <c r="BM81" s="26">
        <f t="shared" si="8"/>
        <v>1</v>
      </c>
      <c r="BN81">
        <f t="shared" si="9"/>
        <v>999</v>
      </c>
      <c r="BO81">
        <f t="shared" si="10"/>
        <v>999</v>
      </c>
    </row>
    <row r="82" spans="1:67" x14ac:dyDescent="0.25">
      <c r="A82" s="57"/>
      <c r="B82" s="63"/>
      <c r="C82" s="56"/>
      <c r="G82" s="4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I82" s="3">
        <f t="shared" si="11"/>
        <v>6.6666666666666599</v>
      </c>
      <c r="BJ82" s="1">
        <f t="shared" si="12"/>
        <v>188181.6685323253</v>
      </c>
      <c r="BK82" s="1">
        <f t="shared" si="13"/>
        <v>186403.850109299</v>
      </c>
      <c r="BL82" s="26">
        <f t="shared" si="7"/>
        <v>1</v>
      </c>
      <c r="BM82" s="26">
        <f t="shared" si="8"/>
        <v>1</v>
      </c>
      <c r="BN82">
        <f t="shared" si="9"/>
        <v>999</v>
      </c>
      <c r="BO82">
        <f t="shared" si="10"/>
        <v>999</v>
      </c>
    </row>
    <row r="83" spans="1:67" x14ac:dyDescent="0.25">
      <c r="A83" s="57"/>
      <c r="B83" s="63"/>
      <c r="C83" s="56"/>
      <c r="G83" s="4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I83" s="3">
        <f t="shared" si="11"/>
        <v>6.7499999999999929</v>
      </c>
      <c r="BJ83" s="1">
        <f t="shared" si="12"/>
        <v>187845.64541222269</v>
      </c>
      <c r="BK83" s="1">
        <f t="shared" si="13"/>
        <v>186043.16021583593</v>
      </c>
      <c r="BL83" s="26">
        <f t="shared" si="7"/>
        <v>1</v>
      </c>
      <c r="BM83" s="26">
        <f t="shared" si="8"/>
        <v>1</v>
      </c>
      <c r="BN83">
        <f t="shared" si="9"/>
        <v>999</v>
      </c>
      <c r="BO83">
        <f t="shared" si="10"/>
        <v>999</v>
      </c>
    </row>
    <row r="84" spans="1:67" x14ac:dyDescent="0.25">
      <c r="A84" s="57"/>
      <c r="B84" s="63"/>
      <c r="C84" s="56"/>
      <c r="G84" s="4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I84" s="3">
        <f t="shared" si="11"/>
        <v>6.8333333333333259</v>
      </c>
      <c r="BJ84" s="1">
        <f t="shared" si="12"/>
        <v>187508.74023142978</v>
      </c>
      <c r="BK84" s="1">
        <f t="shared" si="13"/>
        <v>185681.52351140251</v>
      </c>
      <c r="BL84" s="26">
        <f t="shared" si="7"/>
        <v>1</v>
      </c>
      <c r="BM84" s="26">
        <f t="shared" si="8"/>
        <v>1</v>
      </c>
      <c r="BN84">
        <f t="shared" si="9"/>
        <v>999</v>
      </c>
      <c r="BO84">
        <f t="shared" si="10"/>
        <v>999</v>
      </c>
    </row>
    <row r="85" spans="1:67" x14ac:dyDescent="0.25">
      <c r="A85" s="57"/>
      <c r="B85" s="63"/>
      <c r="C85" s="56"/>
      <c r="G85" s="4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I85" s="3">
        <f t="shared" si="11"/>
        <v>6.916666666666659</v>
      </c>
      <c r="BJ85" s="1">
        <f t="shared" si="12"/>
        <v>187170.95067453731</v>
      </c>
      <c r="BK85" s="1">
        <f t="shared" si="13"/>
        <v>185318.93751061996</v>
      </c>
      <c r="BL85" s="26">
        <f t="shared" si="7"/>
        <v>1</v>
      </c>
      <c r="BM85" s="26">
        <f t="shared" si="8"/>
        <v>1</v>
      </c>
      <c r="BN85">
        <f t="shared" si="9"/>
        <v>999</v>
      </c>
      <c r="BO85">
        <f t="shared" si="10"/>
        <v>999</v>
      </c>
    </row>
    <row r="86" spans="1:67" x14ac:dyDescent="0.25">
      <c r="A86" s="57"/>
      <c r="B86" s="63"/>
      <c r="C86" s="56"/>
      <c r="G86" s="4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I86" s="3">
        <f t="shared" si="11"/>
        <v>6.999999999999992</v>
      </c>
      <c r="BJ86" s="1">
        <f t="shared" si="12"/>
        <v>186832.27442005798</v>
      </c>
      <c r="BK86" s="1">
        <f t="shared" si="13"/>
        <v>184955.39972158536</v>
      </c>
      <c r="BL86" s="26">
        <f t="shared" si="7"/>
        <v>1</v>
      </c>
      <c r="BM86" s="26">
        <f t="shared" si="8"/>
        <v>1</v>
      </c>
      <c r="BN86">
        <f t="shared" si="9"/>
        <v>999</v>
      </c>
      <c r="BO86">
        <f t="shared" si="10"/>
        <v>999</v>
      </c>
    </row>
    <row r="87" spans="1:67" x14ac:dyDescent="0.25">
      <c r="A87" s="57"/>
      <c r="B87" s="63"/>
      <c r="C87" s="56"/>
      <c r="G87" s="4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I87" s="3">
        <f t="shared" si="11"/>
        <v>7.083333333333325</v>
      </c>
      <c r="BJ87" s="1">
        <f t="shared" si="12"/>
        <v>186492.70914041065</v>
      </c>
      <c r="BK87" s="1">
        <f t="shared" si="13"/>
        <v>184590.90764585455</v>
      </c>
      <c r="BL87" s="26">
        <f t="shared" si="7"/>
        <v>1</v>
      </c>
      <c r="BM87" s="26">
        <f t="shared" si="8"/>
        <v>1</v>
      </c>
      <c r="BN87">
        <f t="shared" si="9"/>
        <v>999</v>
      </c>
      <c r="BO87">
        <f t="shared" si="10"/>
        <v>999</v>
      </c>
    </row>
    <row r="88" spans="1:67" x14ac:dyDescent="0.25">
      <c r="A88" s="57"/>
      <c r="B88" s="63"/>
      <c r="C88" s="56"/>
      <c r="G88" s="4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I88" s="3">
        <f t="shared" si="11"/>
        <v>7.1666666666666581</v>
      </c>
      <c r="BJ88" s="1">
        <f t="shared" si="12"/>
        <v>186152.25250190424</v>
      </c>
      <c r="BK88" s="1">
        <f t="shared" si="13"/>
        <v>184225.45877842495</v>
      </c>
      <c r="BL88" s="26">
        <f t="shared" si="7"/>
        <v>1</v>
      </c>
      <c r="BM88" s="26">
        <f t="shared" si="8"/>
        <v>1</v>
      </c>
      <c r="BN88">
        <f t="shared" si="9"/>
        <v>999</v>
      </c>
      <c r="BO88">
        <f t="shared" si="10"/>
        <v>999</v>
      </c>
    </row>
    <row r="89" spans="1:67" x14ac:dyDescent="0.25">
      <c r="A89" s="57"/>
      <c r="B89" s="63"/>
      <c r="C89" s="56"/>
      <c r="G89" s="4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I89" s="3">
        <f t="shared" si="11"/>
        <v>7.2499999999999911</v>
      </c>
      <c r="BJ89" s="1">
        <f t="shared" si="12"/>
        <v>185810.90216472175</v>
      </c>
      <c r="BK89" s="1">
        <f t="shared" si="13"/>
        <v>183859.05060771832</v>
      </c>
      <c r="BL89" s="26">
        <f t="shared" si="7"/>
        <v>1</v>
      </c>
      <c r="BM89" s="26">
        <f t="shared" si="8"/>
        <v>1</v>
      </c>
      <c r="BN89">
        <f t="shared" si="9"/>
        <v>999</v>
      </c>
      <c r="BO89">
        <f t="shared" si="10"/>
        <v>999</v>
      </c>
    </row>
    <row r="90" spans="1:67" x14ac:dyDescent="0.25">
      <c r="A90" s="57"/>
      <c r="B90" s="63"/>
      <c r="C90" s="56"/>
      <c r="G90" s="4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I90" s="3">
        <f t="shared" si="11"/>
        <v>7.3333333333333242</v>
      </c>
      <c r="BJ90" s="1">
        <f t="shared" si="12"/>
        <v>185468.65578290416</v>
      </c>
      <c r="BK90" s="1">
        <f t="shared" si="13"/>
        <v>183491.68061556361</v>
      </c>
      <c r="BL90" s="26">
        <f t="shared" si="7"/>
        <v>1</v>
      </c>
      <c r="BM90" s="26">
        <f t="shared" si="8"/>
        <v>1</v>
      </c>
      <c r="BN90">
        <f t="shared" si="9"/>
        <v>999</v>
      </c>
      <c r="BO90">
        <f t="shared" si="10"/>
        <v>999</v>
      </c>
    </row>
    <row r="91" spans="1:67" x14ac:dyDescent="0.25">
      <c r="A91" s="57"/>
      <c r="B91" s="63"/>
      <c r="C91" s="56"/>
      <c r="G91" s="4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I91" s="3">
        <f t="shared" si="11"/>
        <v>7.4166666666666572</v>
      </c>
      <c r="BJ91" s="1">
        <f t="shared" si="12"/>
        <v>185125.51100433429</v>
      </c>
      <c r="BK91" s="1">
        <f t="shared" si="13"/>
        <v>183123.34627717949</v>
      </c>
      <c r="BL91" s="26">
        <f t="shared" si="7"/>
        <v>1</v>
      </c>
      <c r="BM91" s="26">
        <f t="shared" si="8"/>
        <v>1</v>
      </c>
      <c r="BN91">
        <f t="shared" si="9"/>
        <v>999</v>
      </c>
      <c r="BO91">
        <f t="shared" si="10"/>
        <v>999</v>
      </c>
    </row>
    <row r="92" spans="1:67" x14ac:dyDescent="0.25">
      <c r="A92" s="57"/>
      <c r="B92" s="63"/>
      <c r="C92" s="56"/>
      <c r="G92" s="4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I92" s="3">
        <f t="shared" si="11"/>
        <v>7.4999999999999902</v>
      </c>
      <c r="BJ92" s="1">
        <f t="shared" si="12"/>
        <v>184781.46547072069</v>
      </c>
      <c r="BK92" s="1">
        <f t="shared" si="13"/>
        <v>182754.04506115711</v>
      </c>
      <c r="BL92" s="26">
        <f t="shared" si="7"/>
        <v>1</v>
      </c>
      <c r="BM92" s="26">
        <f t="shared" si="8"/>
        <v>1</v>
      </c>
      <c r="BN92">
        <f t="shared" si="9"/>
        <v>999</v>
      </c>
      <c r="BO92">
        <f t="shared" si="10"/>
        <v>999</v>
      </c>
    </row>
    <row r="93" spans="1:67" x14ac:dyDescent="0.25">
      <c r="A93" s="57"/>
      <c r="B93" s="63"/>
      <c r="C93" s="56"/>
      <c r="G93" s="4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I93" s="3">
        <f t="shared" si="11"/>
        <v>7.5833333333333233</v>
      </c>
      <c r="BJ93" s="1">
        <f t="shared" si="12"/>
        <v>184436.51681758135</v>
      </c>
      <c r="BK93" s="1">
        <f t="shared" si="13"/>
        <v>182383.77442944268</v>
      </c>
      <c r="BL93" s="26">
        <f t="shared" si="7"/>
        <v>1</v>
      </c>
      <c r="BM93" s="26">
        <f t="shared" si="8"/>
        <v>1</v>
      </c>
      <c r="BN93">
        <f t="shared" si="9"/>
        <v>999</v>
      </c>
      <c r="BO93">
        <f t="shared" si="10"/>
        <v>999</v>
      </c>
    </row>
    <row r="94" spans="1:67" x14ac:dyDescent="0.25">
      <c r="A94" s="57"/>
      <c r="B94" s="63"/>
      <c r="C94" s="56"/>
      <c r="G94" s="4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I94" s="3">
        <f t="shared" si="11"/>
        <v>7.6666666666666563</v>
      </c>
      <c r="BJ94" s="1">
        <f t="shared" si="12"/>
        <v>184090.66267422753</v>
      </c>
      <c r="BK94" s="1">
        <f t="shared" si="13"/>
        <v>182012.53183731998</v>
      </c>
      <c r="BL94" s="26">
        <f t="shared" si="7"/>
        <v>1</v>
      </c>
      <c r="BM94" s="26">
        <f t="shared" si="8"/>
        <v>1</v>
      </c>
      <c r="BN94">
        <f t="shared" si="9"/>
        <v>999</v>
      </c>
      <c r="BO94">
        <f t="shared" si="10"/>
        <v>999</v>
      </c>
    </row>
    <row r="95" spans="1:67" x14ac:dyDescent="0.25">
      <c r="A95" s="57"/>
      <c r="B95" s="63"/>
      <c r="C95" s="56"/>
      <c r="G95" s="4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I95" s="3">
        <f t="shared" si="11"/>
        <v>7.7499999999999893</v>
      </c>
      <c r="BJ95" s="1">
        <f t="shared" si="12"/>
        <v>183743.90066374739</v>
      </c>
      <c r="BK95" s="1">
        <f t="shared" si="13"/>
        <v>181640.31473339297</v>
      </c>
      <c r="BL95" s="26">
        <f t="shared" si="7"/>
        <v>1</v>
      </c>
      <c r="BM95" s="26">
        <f t="shared" si="8"/>
        <v>1</v>
      </c>
      <c r="BN95">
        <f t="shared" si="9"/>
        <v>999</v>
      </c>
      <c r="BO95">
        <f t="shared" si="10"/>
        <v>999</v>
      </c>
    </row>
    <row r="96" spans="1:67" x14ac:dyDescent="0.25">
      <c r="A96" s="57"/>
      <c r="B96" s="63"/>
      <c r="C96" s="56"/>
      <c r="G96" s="4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I96" s="3">
        <f t="shared" si="11"/>
        <v>7.8333333333333224</v>
      </c>
      <c r="BJ96" s="1">
        <f t="shared" si="12"/>
        <v>183396.22840298974</v>
      </c>
      <c r="BK96" s="1">
        <f t="shared" si="13"/>
        <v>181267.12055956814</v>
      </c>
      <c r="BL96" s="26">
        <f t="shared" si="7"/>
        <v>1</v>
      </c>
      <c r="BM96" s="26">
        <f t="shared" si="8"/>
        <v>1</v>
      </c>
      <c r="BN96">
        <f t="shared" si="9"/>
        <v>999</v>
      </c>
      <c r="BO96">
        <f t="shared" si="10"/>
        <v>999</v>
      </c>
    </row>
    <row r="97" spans="1:67" x14ac:dyDescent="0.25">
      <c r="A97" s="57"/>
      <c r="B97" s="63"/>
      <c r="C97" s="56"/>
      <c r="G97" s="4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I97" s="3">
        <f t="shared" si="11"/>
        <v>7.9166666666666554</v>
      </c>
      <c r="BJ97" s="1">
        <f t="shared" si="12"/>
        <v>183047.64350254761</v>
      </c>
      <c r="BK97" s="1">
        <f t="shared" si="13"/>
        <v>180892.94675103703</v>
      </c>
      <c r="BL97" s="26">
        <f t="shared" si="7"/>
        <v>1</v>
      </c>
      <c r="BM97" s="26">
        <f t="shared" si="8"/>
        <v>1</v>
      </c>
      <c r="BN97">
        <f t="shared" si="9"/>
        <v>999</v>
      </c>
      <c r="BO97">
        <f t="shared" si="10"/>
        <v>999</v>
      </c>
    </row>
    <row r="98" spans="1:67" x14ac:dyDescent="0.25">
      <c r="A98" s="57"/>
      <c r="B98" s="63"/>
      <c r="C98" s="56"/>
      <c r="G98" s="4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I98" s="3">
        <f t="shared" si="11"/>
        <v>7.9999999999999885</v>
      </c>
      <c r="BJ98" s="1">
        <f t="shared" si="12"/>
        <v>182698.14356674181</v>
      </c>
      <c r="BK98" s="1">
        <f t="shared" si="13"/>
        <v>180517.79073625852</v>
      </c>
      <c r="BL98" s="26">
        <f t="shared" si="7"/>
        <v>1</v>
      </c>
      <c r="BM98" s="26">
        <f t="shared" si="8"/>
        <v>1</v>
      </c>
      <c r="BN98">
        <f t="shared" si="9"/>
        <v>999</v>
      </c>
      <c r="BO98">
        <f t="shared" si="10"/>
        <v>999</v>
      </c>
    </row>
    <row r="99" spans="1:67" x14ac:dyDescent="0.25">
      <c r="A99" s="57"/>
      <c r="B99" s="63"/>
      <c r="C99" s="56"/>
      <c r="G99" s="4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I99" s="3">
        <f t="shared" si="11"/>
        <v>8.0833333333333215</v>
      </c>
      <c r="BJ99" s="1">
        <f t="shared" si="12"/>
        <v>182347.72619360453</v>
      </c>
      <c r="BK99" s="1">
        <f t="shared" si="13"/>
        <v>180141.64993694122</v>
      </c>
      <c r="BL99" s="26">
        <f t="shared" si="7"/>
        <v>1</v>
      </c>
      <c r="BM99" s="26">
        <f t="shared" si="8"/>
        <v>1</v>
      </c>
      <c r="BN99">
        <f t="shared" si="9"/>
        <v>999</v>
      </c>
      <c r="BO99">
        <f t="shared" si="10"/>
        <v>999</v>
      </c>
    </row>
    <row r="100" spans="1:67" x14ac:dyDescent="0.25">
      <c r="A100" s="57"/>
      <c r="B100" s="63"/>
      <c r="C100" s="56"/>
      <c r="G100" s="4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I100" s="3">
        <f t="shared" si="11"/>
        <v>8.1666666666666554</v>
      </c>
      <c r="BJ100" s="1">
        <f t="shared" si="12"/>
        <v>181996.38897486276</v>
      </c>
      <c r="BK100" s="1">
        <f t="shared" si="13"/>
        <v>179764.5217680257</v>
      </c>
      <c r="BL100" s="26">
        <f t="shared" si="7"/>
        <v>1</v>
      </c>
      <c r="BM100" s="26">
        <f t="shared" si="8"/>
        <v>1</v>
      </c>
      <c r="BN100">
        <f t="shared" si="9"/>
        <v>999</v>
      </c>
      <c r="BO100">
        <f t="shared" si="10"/>
        <v>999</v>
      </c>
    </row>
    <row r="101" spans="1:67" x14ac:dyDescent="0.25">
      <c r="A101" s="57"/>
      <c r="B101" s="63"/>
      <c r="C101" s="56"/>
      <c r="G101" s="4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I101" s="3">
        <f t="shared" si="11"/>
        <v>8.2499999999999893</v>
      </c>
      <c r="BJ101" s="1">
        <f t="shared" si="12"/>
        <v>181644.12949592178</v>
      </c>
      <c r="BK101" s="1">
        <f t="shared" si="13"/>
        <v>179386.40363766678</v>
      </c>
      <c r="BL101" s="26">
        <f t="shared" si="7"/>
        <v>1</v>
      </c>
      <c r="BM101" s="26">
        <f t="shared" si="8"/>
        <v>1</v>
      </c>
      <c r="BN101">
        <f t="shared" si="9"/>
        <v>999</v>
      </c>
      <c r="BO101">
        <f t="shared" si="10"/>
        <v>999</v>
      </c>
    </row>
    <row r="102" spans="1:67" x14ac:dyDescent="0.25">
      <c r="A102" s="57"/>
      <c r="B102" s="63"/>
      <c r="C102" s="56"/>
      <c r="G102" s="4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I102" s="3">
        <f t="shared" si="11"/>
        <v>8.3333333333333233</v>
      </c>
      <c r="BJ102" s="1">
        <f t="shared" si="12"/>
        <v>181290.94533584858</v>
      </c>
      <c r="BK102" s="1">
        <f t="shared" si="13"/>
        <v>179007.29294721567</v>
      </c>
      <c r="BL102" s="26">
        <f t="shared" si="7"/>
        <v>1</v>
      </c>
      <c r="BM102" s="26">
        <f t="shared" si="8"/>
        <v>1</v>
      </c>
      <c r="BN102">
        <f t="shared" si="9"/>
        <v>999</v>
      </c>
      <c r="BO102">
        <f t="shared" si="10"/>
        <v>999</v>
      </c>
    </row>
    <row r="103" spans="1:67" x14ac:dyDescent="0.25">
      <c r="A103" s="57"/>
      <c r="B103" s="63"/>
      <c r="C103" s="56"/>
      <c r="G103" s="4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I103" s="3">
        <f t="shared" si="11"/>
        <v>8.4166666666666572</v>
      </c>
      <c r="BJ103" s="1">
        <f t="shared" si="12"/>
        <v>180936.8340673552</v>
      </c>
      <c r="BK103" s="1">
        <f t="shared" si="13"/>
        <v>178627.18709120213</v>
      </c>
      <c r="BL103" s="26">
        <f t="shared" si="7"/>
        <v>1</v>
      </c>
      <c r="BM103" s="26">
        <f t="shared" si="8"/>
        <v>1</v>
      </c>
      <c r="BN103">
        <f t="shared" si="9"/>
        <v>999</v>
      </c>
      <c r="BO103">
        <f t="shared" si="10"/>
        <v>999</v>
      </c>
    </row>
    <row r="104" spans="1:67" x14ac:dyDescent="0.25">
      <c r="A104" s="57"/>
      <c r="B104" s="63"/>
      <c r="C104" s="56"/>
      <c r="G104" s="4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I104" s="3">
        <f t="shared" si="11"/>
        <v>8.4999999999999911</v>
      </c>
      <c r="BJ104" s="1">
        <f t="shared" si="12"/>
        <v>180581.79325678202</v>
      </c>
      <c r="BK104" s="1">
        <f t="shared" si="13"/>
        <v>178246.08345731656</v>
      </c>
      <c r="BL104" s="26">
        <f t="shared" si="7"/>
        <v>1</v>
      </c>
      <c r="BM104" s="26">
        <f t="shared" si="8"/>
        <v>1</v>
      </c>
      <c r="BN104">
        <f t="shared" si="9"/>
        <v>999</v>
      </c>
      <c r="BO104">
        <f t="shared" si="10"/>
        <v>999</v>
      </c>
    </row>
    <row r="105" spans="1:67" x14ac:dyDescent="0.25">
      <c r="A105" s="57"/>
      <c r="B105" s="63"/>
      <c r="C105" s="56"/>
      <c r="G105" s="4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I105" s="3">
        <f t="shared" si="11"/>
        <v>8.583333333333325</v>
      </c>
      <c r="BJ105" s="1">
        <f t="shared" si="12"/>
        <v>180225.8204640811</v>
      </c>
      <c r="BK105" s="1">
        <f t="shared" si="13"/>
        <v>177863.97942639203</v>
      </c>
      <c r="BL105" s="26">
        <f t="shared" si="7"/>
        <v>1</v>
      </c>
      <c r="BM105" s="26">
        <f t="shared" si="8"/>
        <v>1</v>
      </c>
      <c r="BN105">
        <f t="shared" si="9"/>
        <v>999</v>
      </c>
      <c r="BO105">
        <f t="shared" si="10"/>
        <v>999</v>
      </c>
    </row>
    <row r="106" spans="1:67" x14ac:dyDescent="0.25">
      <c r="A106" s="57"/>
      <c r="B106" s="63"/>
      <c r="C106" s="56"/>
      <c r="G106" s="4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I106" s="3">
        <f t="shared" si="11"/>
        <v>8.666666666666659</v>
      </c>
      <c r="BJ106" s="1">
        <f t="shared" si="12"/>
        <v>179868.91324279935</v>
      </c>
      <c r="BK106" s="1">
        <f t="shared" si="13"/>
        <v>177480.87237238634</v>
      </c>
      <c r="BL106" s="26">
        <f t="shared" si="7"/>
        <v>1</v>
      </c>
      <c r="BM106" s="26">
        <f t="shared" si="8"/>
        <v>1</v>
      </c>
      <c r="BN106">
        <f t="shared" si="9"/>
        <v>999</v>
      </c>
      <c r="BO106">
        <f t="shared" si="10"/>
        <v>999</v>
      </c>
    </row>
    <row r="107" spans="1:67" x14ac:dyDescent="0.25">
      <c r="A107" s="57"/>
      <c r="B107" s="63"/>
      <c r="C107" s="56"/>
      <c r="G107" s="4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I107" s="3">
        <f t="shared" si="11"/>
        <v>8.7499999999999929</v>
      </c>
      <c r="BJ107" s="1">
        <f t="shared" si="12"/>
        <v>179511.06914006171</v>
      </c>
      <c r="BK107" s="1">
        <f t="shared" si="13"/>
        <v>177096.75966236388</v>
      </c>
      <c r="BL107" s="26">
        <f t="shared" si="7"/>
        <v>1</v>
      </c>
      <c r="BM107" s="26">
        <f t="shared" si="8"/>
        <v>1</v>
      </c>
      <c r="BN107">
        <f t="shared" si="9"/>
        <v>999</v>
      </c>
      <c r="BO107">
        <f t="shared" si="10"/>
        <v>999</v>
      </c>
    </row>
    <row r="108" spans="1:67" x14ac:dyDescent="0.25">
      <c r="A108" s="57"/>
      <c r="B108" s="63"/>
      <c r="C108" s="56"/>
      <c r="G108" s="4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I108" s="3">
        <f t="shared" si="11"/>
        <v>8.8333333333333268</v>
      </c>
      <c r="BJ108" s="1">
        <f t="shared" si="12"/>
        <v>179152.28569655438</v>
      </c>
      <c r="BK108" s="1">
        <f t="shared" si="13"/>
        <v>176711.63865647762</v>
      </c>
      <c r="BL108" s="26">
        <f t="shared" si="7"/>
        <v>1</v>
      </c>
      <c r="BM108" s="26">
        <f t="shared" si="8"/>
        <v>1</v>
      </c>
      <c r="BN108">
        <f t="shared" si="9"/>
        <v>999</v>
      </c>
      <c r="BO108">
        <f t="shared" si="10"/>
        <v>999</v>
      </c>
    </row>
    <row r="109" spans="1:67" x14ac:dyDescent="0.25">
      <c r="A109" s="57"/>
      <c r="B109" s="63"/>
      <c r="C109" s="56"/>
      <c r="G109" s="4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I109" s="3">
        <f t="shared" si="11"/>
        <v>8.9166666666666607</v>
      </c>
      <c r="BJ109" s="1">
        <f t="shared" si="12"/>
        <v>178792.56044650785</v>
      </c>
      <c r="BK109" s="1">
        <f t="shared" si="13"/>
        <v>176325.5067079509</v>
      </c>
      <c r="BL109" s="26">
        <f t="shared" si="7"/>
        <v>1</v>
      </c>
      <c r="BM109" s="26">
        <f t="shared" si="8"/>
        <v>1</v>
      </c>
      <c r="BN109">
        <f t="shared" si="9"/>
        <v>999</v>
      </c>
      <c r="BO109">
        <f t="shared" si="10"/>
        <v>999</v>
      </c>
    </row>
    <row r="110" spans="1:67" x14ac:dyDescent="0.25">
      <c r="A110" s="57"/>
      <c r="B110" s="63"/>
      <c r="C110" s="56"/>
      <c r="G110" s="4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I110" s="3">
        <f t="shared" si="11"/>
        <v>8.9999999999999947</v>
      </c>
      <c r="BJ110" s="1">
        <f t="shared" si="12"/>
        <v>178431.89091767996</v>
      </c>
      <c r="BK110" s="1">
        <f t="shared" si="13"/>
        <v>175938.36116305928</v>
      </c>
      <c r="BL110" s="26">
        <f t="shared" si="7"/>
        <v>1</v>
      </c>
      <c r="BM110" s="26">
        <f t="shared" si="8"/>
        <v>1</v>
      </c>
      <c r="BN110">
        <f t="shared" si="9"/>
        <v>999</v>
      </c>
      <c r="BO110">
        <f t="shared" si="10"/>
        <v>999</v>
      </c>
    </row>
    <row r="111" spans="1:67" x14ac:dyDescent="0.25">
      <c r="A111" s="57"/>
      <c r="B111" s="63"/>
      <c r="C111" s="56"/>
      <c r="G111" s="4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I111" s="3">
        <f t="shared" si="11"/>
        <v>9.0833333333333286</v>
      </c>
      <c r="BJ111" s="1">
        <f t="shared" si="12"/>
        <v>178070.27463133889</v>
      </c>
      <c r="BK111" s="1">
        <f t="shared" si="13"/>
        <v>175550.19936111232</v>
      </c>
      <c r="BL111" s="26">
        <f t="shared" si="7"/>
        <v>1</v>
      </c>
      <c r="BM111" s="26">
        <f t="shared" si="8"/>
        <v>1</v>
      </c>
      <c r="BN111">
        <f t="shared" si="9"/>
        <v>999</v>
      </c>
      <c r="BO111">
        <f t="shared" si="10"/>
        <v>999</v>
      </c>
    </row>
    <row r="112" spans="1:67" x14ac:dyDescent="0.25">
      <c r="A112" s="57"/>
      <c r="B112" s="63"/>
      <c r="C112" s="56"/>
      <c r="G112" s="4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I112" s="3">
        <f t="shared" si="11"/>
        <v>9.1666666666666625</v>
      </c>
      <c r="BJ112" s="1">
        <f t="shared" si="12"/>
        <v>177707.70910224618</v>
      </c>
      <c r="BK112" s="1">
        <f t="shared" si="13"/>
        <v>175161.01863443526</v>
      </c>
      <c r="BL112" s="26">
        <f t="shared" si="7"/>
        <v>1</v>
      </c>
      <c r="BM112" s="26">
        <f t="shared" si="8"/>
        <v>1</v>
      </c>
      <c r="BN112">
        <f t="shared" si="9"/>
        <v>999</v>
      </c>
      <c r="BO112">
        <f t="shared" si="10"/>
        <v>999</v>
      </c>
    </row>
    <row r="113" spans="1:67" x14ac:dyDescent="0.25">
      <c r="A113" s="57"/>
      <c r="B113" s="63"/>
      <c r="C113" s="56"/>
      <c r="G113" s="4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I113" s="3">
        <f t="shared" si="11"/>
        <v>9.2499999999999964</v>
      </c>
      <c r="BJ113" s="1">
        <f t="shared" si="12"/>
        <v>177344.19183863958</v>
      </c>
      <c r="BK113" s="1">
        <f t="shared" si="13"/>
        <v>174770.81630835065</v>
      </c>
      <c r="BL113" s="26">
        <f t="shared" si="7"/>
        <v>1</v>
      </c>
      <c r="BM113" s="26">
        <f t="shared" si="8"/>
        <v>1</v>
      </c>
      <c r="BN113">
        <f t="shared" si="9"/>
        <v>999</v>
      </c>
      <c r="BO113">
        <f t="shared" si="10"/>
        <v>999</v>
      </c>
    </row>
    <row r="114" spans="1:67" x14ac:dyDescent="0.25">
      <c r="A114" s="57"/>
      <c r="B114" s="63"/>
      <c r="C114" s="56"/>
      <c r="G114" s="4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I114" s="3">
        <f t="shared" si="11"/>
        <v>9.3333333333333304</v>
      </c>
      <c r="BJ114" s="1">
        <f t="shared" si="12"/>
        <v>176979.72034221602</v>
      </c>
      <c r="BK114" s="1">
        <f t="shared" si="13"/>
        <v>174379.58970116009</v>
      </c>
      <c r="BL114" s="26">
        <f t="shared" si="7"/>
        <v>1</v>
      </c>
      <c r="BM114" s="26">
        <f t="shared" si="8"/>
        <v>1</v>
      </c>
      <c r="BN114">
        <f t="shared" si="9"/>
        <v>999</v>
      </c>
      <c r="BO114">
        <f t="shared" si="10"/>
        <v>999</v>
      </c>
    </row>
    <row r="115" spans="1:67" x14ac:dyDescent="0.25">
      <c r="A115" s="57"/>
      <c r="B115" s="63"/>
      <c r="C115" s="56"/>
      <c r="G115" s="4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I115" s="3">
        <f t="shared" si="11"/>
        <v>9.4166666666666643</v>
      </c>
      <c r="BJ115" s="1">
        <f t="shared" si="12"/>
        <v>176614.29210811437</v>
      </c>
      <c r="BK115" s="1">
        <f t="shared" si="13"/>
        <v>173987.33612412566</v>
      </c>
      <c r="BL115" s="26">
        <f t="shared" si="7"/>
        <v>1</v>
      </c>
      <c r="BM115" s="26">
        <f t="shared" si="8"/>
        <v>1</v>
      </c>
      <c r="BN115">
        <f t="shared" si="9"/>
        <v>999</v>
      </c>
      <c r="BO115">
        <f t="shared" si="10"/>
        <v>999</v>
      </c>
    </row>
    <row r="116" spans="1:67" x14ac:dyDescent="0.25">
      <c r="A116" s="57"/>
      <c r="B116" s="63"/>
      <c r="C116" s="56"/>
      <c r="G116" s="4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I116" s="3">
        <f t="shared" si="11"/>
        <v>9.4999999999999982</v>
      </c>
      <c r="BJ116" s="1">
        <f t="shared" si="12"/>
        <v>176247.90462489819</v>
      </c>
      <c r="BK116" s="1">
        <f t="shared" si="13"/>
        <v>173594.0528814515</v>
      </c>
      <c r="BL116" s="26">
        <f t="shared" si="7"/>
        <v>1</v>
      </c>
      <c r="BM116" s="26">
        <f t="shared" si="8"/>
        <v>1</v>
      </c>
      <c r="BN116">
        <f t="shared" si="9"/>
        <v>999</v>
      </c>
      <c r="BO116">
        <f t="shared" si="10"/>
        <v>999</v>
      </c>
    </row>
    <row r="117" spans="1:67" x14ac:dyDescent="0.25">
      <c r="A117" s="57"/>
      <c r="B117" s="63"/>
      <c r="C117" s="56"/>
      <c r="G117" s="4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I117" s="3">
        <f t="shared" si="11"/>
        <v>9.5833333333333321</v>
      </c>
      <c r="BJ117" s="1">
        <f t="shared" si="12"/>
        <v>175880.55537453856</v>
      </c>
      <c r="BK117" s="1">
        <f t="shared" si="13"/>
        <v>173199.73727026532</v>
      </c>
      <c r="BL117" s="26">
        <f t="shared" si="7"/>
        <v>1</v>
      </c>
      <c r="BM117" s="26">
        <f t="shared" si="8"/>
        <v>1</v>
      </c>
      <c r="BN117">
        <f t="shared" si="9"/>
        <v>999</v>
      </c>
      <c r="BO117">
        <f t="shared" si="10"/>
        <v>999</v>
      </c>
    </row>
    <row r="118" spans="1:67" x14ac:dyDescent="0.25">
      <c r="A118" s="57"/>
      <c r="B118" s="63"/>
      <c r="C118" s="56"/>
      <c r="G118" s="4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I118" s="3">
        <f t="shared" si="11"/>
        <v>9.6666666666666661</v>
      </c>
      <c r="BJ118" s="1">
        <f t="shared" si="12"/>
        <v>175512.24183239674</v>
      </c>
      <c r="BK118" s="1">
        <f t="shared" si="13"/>
        <v>172804.38658059979</v>
      </c>
      <c r="BL118" s="26">
        <f t="shared" si="7"/>
        <v>1</v>
      </c>
      <c r="BM118" s="26">
        <f t="shared" si="8"/>
        <v>1</v>
      </c>
      <c r="BN118">
        <f t="shared" si="9"/>
        <v>999</v>
      </c>
      <c r="BO118">
        <f t="shared" si="10"/>
        <v>999</v>
      </c>
    </row>
    <row r="119" spans="1:67" x14ac:dyDescent="0.25">
      <c r="A119" s="57"/>
      <c r="B119" s="63"/>
      <c r="C119" s="56"/>
      <c r="G119" s="4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I119" s="3">
        <f t="shared" si="11"/>
        <v>9.75</v>
      </c>
      <c r="BJ119" s="1">
        <f t="shared" si="12"/>
        <v>175142.9614672068</v>
      </c>
      <c r="BK119" s="1">
        <f t="shared" si="13"/>
        <v>172407.99809537389</v>
      </c>
      <c r="BL119" s="26">
        <f t="shared" si="7"/>
        <v>1</v>
      </c>
      <c r="BM119" s="26">
        <f t="shared" si="8"/>
        <v>1</v>
      </c>
      <c r="BN119">
        <f t="shared" si="9"/>
        <v>999</v>
      </c>
      <c r="BO119">
        <f t="shared" si="10"/>
        <v>999</v>
      </c>
    </row>
    <row r="120" spans="1:67" x14ac:dyDescent="0.25">
      <c r="A120" s="57"/>
      <c r="B120" s="63"/>
      <c r="C120" s="56"/>
      <c r="G120" s="4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I120" s="3">
        <f t="shared" si="11"/>
        <v>9.8333333333333339</v>
      </c>
      <c r="BJ120" s="1">
        <f t="shared" si="12"/>
        <v>174772.71174105824</v>
      </c>
      <c r="BK120" s="1">
        <f t="shared" si="13"/>
        <v>172010.56909037425</v>
      </c>
      <c r="BL120" s="26">
        <f t="shared" si="7"/>
        <v>1</v>
      </c>
      <c r="BM120" s="26">
        <f t="shared" si="8"/>
        <v>1</v>
      </c>
      <c r="BN120">
        <f t="shared" si="9"/>
        <v>999</v>
      </c>
      <c r="BO120">
        <f t="shared" si="10"/>
        <v>999</v>
      </c>
    </row>
    <row r="121" spans="1:67" x14ac:dyDescent="0.25">
      <c r="A121" s="57"/>
      <c r="B121" s="63"/>
      <c r="C121" s="56"/>
      <c r="G121" s="4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I121" s="3">
        <f t="shared" si="11"/>
        <v>9.9166666666666679</v>
      </c>
      <c r="BJ121" s="1">
        <f t="shared" si="12"/>
        <v>174401.49010937853</v>
      </c>
      <c r="BK121" s="1">
        <f t="shared" si="13"/>
        <v>171612.09683423649</v>
      </c>
      <c r="BL121" s="26">
        <f t="shared" si="7"/>
        <v>1</v>
      </c>
      <c r="BM121" s="26">
        <f t="shared" si="8"/>
        <v>1</v>
      </c>
      <c r="BN121">
        <f t="shared" si="9"/>
        <v>999</v>
      </c>
      <c r="BO121">
        <f t="shared" si="10"/>
        <v>999</v>
      </c>
    </row>
    <row r="122" spans="1:67" x14ac:dyDescent="0.25">
      <c r="A122" s="57"/>
      <c r="B122" s="63"/>
      <c r="C122" s="56"/>
      <c r="G122" s="4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I122" s="3">
        <f t="shared" si="11"/>
        <v>10.000000000000002</v>
      </c>
      <c r="BJ122" s="1">
        <f t="shared" si="12"/>
        <v>174029.29402091567</v>
      </c>
      <c r="BK122" s="1">
        <f t="shared" si="13"/>
        <v>171212.57858842638</v>
      </c>
      <c r="BL122" s="26">
        <f t="shared" si="7"/>
        <v>1</v>
      </c>
      <c r="BM122" s="26">
        <f t="shared" si="8"/>
        <v>1</v>
      </c>
      <c r="BN122">
        <f t="shared" si="9"/>
        <v>999</v>
      </c>
      <c r="BO122">
        <f t="shared" si="10"/>
        <v>999</v>
      </c>
    </row>
    <row r="123" spans="1:67" x14ac:dyDescent="0.25">
      <c r="A123" s="57"/>
      <c r="B123" s="63"/>
      <c r="C123" s="56"/>
      <c r="G123" s="4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I123" s="3">
        <f t="shared" si="11"/>
        <v>10.083333333333336</v>
      </c>
      <c r="BJ123" s="1">
        <f t="shared" si="12"/>
        <v>173656.12091772057</v>
      </c>
      <c r="BK123" s="1">
        <f t="shared" si="13"/>
        <v>170812.01160722101</v>
      </c>
      <c r="BL123" s="26">
        <f t="shared" si="7"/>
        <v>1</v>
      </c>
      <c r="BM123" s="26">
        <f t="shared" si="8"/>
        <v>1</v>
      </c>
      <c r="BN123">
        <f t="shared" si="9"/>
        <v>999</v>
      </c>
      <c r="BO123">
        <f t="shared" si="10"/>
        <v>999</v>
      </c>
    </row>
    <row r="124" spans="1:67" x14ac:dyDescent="0.25">
      <c r="A124" s="57"/>
      <c r="B124" s="63"/>
      <c r="C124" s="56"/>
      <c r="G124" s="4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I124" s="3">
        <f t="shared" si="11"/>
        <v>10.16666666666667</v>
      </c>
      <c r="BJ124" s="1">
        <f t="shared" si="12"/>
        <v>173281.96823512961</v>
      </c>
      <c r="BK124" s="1">
        <f t="shared" si="13"/>
        <v>170410.39313768997</v>
      </c>
      <c r="BL124" s="26">
        <f t="shared" si="7"/>
        <v>1</v>
      </c>
      <c r="BM124" s="26">
        <f t="shared" si="8"/>
        <v>1</v>
      </c>
      <c r="BN124">
        <f t="shared" si="9"/>
        <v>999</v>
      </c>
      <c r="BO124">
        <f t="shared" si="10"/>
        <v>999</v>
      </c>
    </row>
    <row r="125" spans="1:67" x14ac:dyDescent="0.25">
      <c r="A125" s="57"/>
      <c r="B125" s="63"/>
      <c r="C125" s="56"/>
      <c r="G125" s="4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I125" s="3">
        <f t="shared" si="11"/>
        <v>10.250000000000004</v>
      </c>
      <c r="BJ125" s="1">
        <f t="shared" si="12"/>
        <v>172906.83340174684</v>
      </c>
      <c r="BK125" s="1">
        <f t="shared" si="13"/>
        <v>170007.72041967642</v>
      </c>
      <c r="BL125" s="26">
        <f t="shared" si="7"/>
        <v>1</v>
      </c>
      <c r="BM125" s="26">
        <f t="shared" si="8"/>
        <v>1</v>
      </c>
      <c r="BN125">
        <f t="shared" si="9"/>
        <v>999</v>
      </c>
      <c r="BO125">
        <f t="shared" si="10"/>
        <v>999</v>
      </c>
    </row>
    <row r="126" spans="1:67" x14ac:dyDescent="0.25">
      <c r="A126" s="57"/>
      <c r="B126" s="63"/>
      <c r="C126" s="56"/>
      <c r="G126" s="4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I126" s="3">
        <f t="shared" si="11"/>
        <v>10.333333333333337</v>
      </c>
      <c r="BJ126" s="1">
        <f t="shared" si="12"/>
        <v>172530.71383942643</v>
      </c>
      <c r="BK126" s="1">
        <f t="shared" si="13"/>
        <v>169603.99068577809</v>
      </c>
      <c r="BL126" s="26">
        <f t="shared" si="7"/>
        <v>1</v>
      </c>
      <c r="BM126" s="26">
        <f t="shared" si="8"/>
        <v>1</v>
      </c>
      <c r="BN126">
        <f t="shared" si="9"/>
        <v>999</v>
      </c>
      <c r="BO126">
        <f t="shared" si="10"/>
        <v>999</v>
      </c>
    </row>
    <row r="127" spans="1:67" x14ac:dyDescent="0.25">
      <c r="A127" s="57"/>
      <c r="B127" s="63"/>
      <c r="C127" s="56"/>
      <c r="G127" s="4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I127" s="3">
        <f t="shared" si="11"/>
        <v>10.416666666666671</v>
      </c>
      <c r="BJ127" s="1">
        <f t="shared" si="12"/>
        <v>172153.60696325495</v>
      </c>
      <c r="BK127" s="1">
        <f t="shared" si="13"/>
        <v>169199.20116132827</v>
      </c>
      <c r="BL127" s="26">
        <f t="shared" si="7"/>
        <v>1</v>
      </c>
      <c r="BM127" s="26">
        <f t="shared" si="8"/>
        <v>1</v>
      </c>
      <c r="BN127">
        <f t="shared" si="9"/>
        <v>999</v>
      </c>
      <c r="BO127">
        <f t="shared" si="10"/>
        <v>999</v>
      </c>
    </row>
    <row r="128" spans="1:67" x14ac:dyDescent="0.25">
      <c r="A128" s="57"/>
      <c r="B128" s="63"/>
      <c r="C128" s="56"/>
      <c r="G128" s="4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I128" s="3">
        <f t="shared" si="11"/>
        <v>10.500000000000005</v>
      </c>
      <c r="BJ128" s="1">
        <f t="shared" si="12"/>
        <v>171775.51018153352</v>
      </c>
      <c r="BK128" s="1">
        <f t="shared" si="13"/>
        <v>168793.34906437676</v>
      </c>
      <c r="BL128" s="26">
        <f t="shared" si="7"/>
        <v>1</v>
      </c>
      <c r="BM128" s="26">
        <f t="shared" si="8"/>
        <v>1</v>
      </c>
      <c r="BN128">
        <f t="shared" si="9"/>
        <v>999</v>
      </c>
      <c r="BO128">
        <f t="shared" si="10"/>
        <v>999</v>
      </c>
    </row>
    <row r="129" spans="1:67" x14ac:dyDescent="0.25">
      <c r="A129" s="57"/>
      <c r="B129" s="63"/>
      <c r="C129" s="56"/>
      <c r="G129" s="4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I129" s="3">
        <f t="shared" si="11"/>
        <v>10.583333333333339</v>
      </c>
      <c r="BJ129" s="1">
        <f t="shared" si="12"/>
        <v>171396.42089576006</v>
      </c>
      <c r="BK129" s="1">
        <f t="shared" si="13"/>
        <v>168386.43160567078</v>
      </c>
      <c r="BL129" s="26">
        <f t="shared" si="7"/>
        <v>1</v>
      </c>
      <c r="BM129" s="26">
        <f t="shared" si="8"/>
        <v>1</v>
      </c>
      <c r="BN129">
        <f t="shared" si="9"/>
        <v>999</v>
      </c>
      <c r="BO129">
        <f t="shared" si="10"/>
        <v>999</v>
      </c>
    </row>
    <row r="130" spans="1:67" x14ac:dyDescent="0.25">
      <c r="A130" s="57"/>
      <c r="B130" s="63"/>
      <c r="C130" s="56"/>
      <c r="G130" s="4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I130" s="3">
        <f t="shared" si="11"/>
        <v>10.666666666666673</v>
      </c>
      <c r="BJ130" s="1">
        <f t="shared" si="12"/>
        <v>171016.33650061145</v>
      </c>
      <c r="BK130" s="1">
        <f t="shared" si="13"/>
        <v>167978.44598863568</v>
      </c>
      <c r="BL130" s="26">
        <f t="shared" ref="BL130:BL193" si="14">IF(BI130&gt;$G$12,0,1)</f>
        <v>1</v>
      </c>
      <c r="BM130" s="26">
        <f t="shared" ref="BM130:BM193" si="15">IF(AND(BL130&gt;0,BK130&gt;0),1,0)</f>
        <v>1</v>
      </c>
      <c r="BN130">
        <f t="shared" ref="BN130:BN193" si="16">IF(BK130&lt;0,BI130,999)</f>
        <v>999</v>
      </c>
      <c r="BO130">
        <f t="shared" ref="BO130:BO193" si="17">IF(BJ130&lt;0,BI130,999)</f>
        <v>999</v>
      </c>
    </row>
    <row r="131" spans="1:67" x14ac:dyDescent="0.25">
      <c r="A131" s="57"/>
      <c r="B131" s="63"/>
      <c r="C131" s="56"/>
      <c r="G131" s="4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I131" s="3">
        <f t="shared" ref="BI131:BI194" si="18">BI130+1/12</f>
        <v>10.750000000000007</v>
      </c>
      <c r="BJ131" s="1">
        <f t="shared" ref="BJ131:BJ194" si="19">BJ130*(1+$C$4/12) - $C$3</f>
        <v>170635.25438392558</v>
      </c>
      <c r="BK131" s="1">
        <f t="shared" si="13"/>
        <v>167569.38940935588</v>
      </c>
      <c r="BL131" s="26">
        <f t="shared" si="14"/>
        <v>1</v>
      </c>
      <c r="BM131" s="26">
        <f t="shared" si="15"/>
        <v>1</v>
      </c>
      <c r="BN131">
        <f t="shared" si="16"/>
        <v>999</v>
      </c>
      <c r="BO131">
        <f t="shared" si="17"/>
        <v>999</v>
      </c>
    </row>
    <row r="132" spans="1:67" x14ac:dyDescent="0.25">
      <c r="A132" s="57"/>
      <c r="B132" s="63"/>
      <c r="C132" s="56"/>
      <c r="G132" s="4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I132" s="3">
        <f t="shared" si="18"/>
        <v>10.833333333333341</v>
      </c>
      <c r="BJ132" s="1">
        <f t="shared" si="19"/>
        <v>170253.1719266834</v>
      </c>
      <c r="BK132" s="1">
        <f t="shared" ref="BK132:BK195" si="20">BK131*(1+$D$4/12)-$C$3-($D$3-$C$3)*BL132</f>
        <v>167159.25905655546</v>
      </c>
      <c r="BL132" s="26">
        <f t="shared" si="14"/>
        <v>1</v>
      </c>
      <c r="BM132" s="26">
        <f t="shared" si="15"/>
        <v>1</v>
      </c>
      <c r="BN132">
        <f t="shared" si="16"/>
        <v>999</v>
      </c>
      <c r="BO132">
        <f t="shared" si="17"/>
        <v>999</v>
      </c>
    </row>
    <row r="133" spans="1:67" x14ac:dyDescent="0.25">
      <c r="A133" s="57"/>
      <c r="B133" s="63"/>
      <c r="C133" s="56"/>
      <c r="G133" s="4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I133" s="3">
        <f t="shared" si="18"/>
        <v>10.916666666666675</v>
      </c>
      <c r="BJ133" s="1">
        <f t="shared" si="19"/>
        <v>169870.08650299095</v>
      </c>
      <c r="BK133" s="1">
        <f t="shared" si="20"/>
        <v>166748.05211157893</v>
      </c>
      <c r="BL133" s="26">
        <f t="shared" si="14"/>
        <v>1</v>
      </c>
      <c r="BM133" s="26">
        <f t="shared" si="15"/>
        <v>1</v>
      </c>
      <c r="BN133">
        <f t="shared" si="16"/>
        <v>999</v>
      </c>
      <c r="BO133">
        <f t="shared" si="17"/>
        <v>999</v>
      </c>
    </row>
    <row r="134" spans="1:67" x14ac:dyDescent="0.25">
      <c r="A134" s="57"/>
      <c r="B134" s="63"/>
      <c r="C134" s="56"/>
      <c r="G134" s="4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I134" s="3">
        <f t="shared" si="18"/>
        <v>11.000000000000009</v>
      </c>
      <c r="BJ134" s="1">
        <f t="shared" si="19"/>
        <v>169485.9954800613</v>
      </c>
      <c r="BK134" s="1">
        <f t="shared" si="20"/>
        <v>166335.76574837184</v>
      </c>
      <c r="BL134" s="26">
        <f t="shared" si="14"/>
        <v>1</v>
      </c>
      <c r="BM134" s="26">
        <f t="shared" si="15"/>
        <v>1</v>
      </c>
      <c r="BN134">
        <f t="shared" si="16"/>
        <v>999</v>
      </c>
      <c r="BO134">
        <f t="shared" si="17"/>
        <v>999</v>
      </c>
    </row>
    <row r="135" spans="1:67" x14ac:dyDescent="0.25">
      <c r="A135" s="57"/>
      <c r="B135" s="63"/>
      <c r="C135" s="56"/>
      <c r="G135" s="4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I135" s="3">
        <f t="shared" si="18"/>
        <v>11.083333333333343</v>
      </c>
      <c r="BJ135" s="1">
        <f t="shared" si="19"/>
        <v>169100.89621819649</v>
      </c>
      <c r="BK135" s="1">
        <f t="shared" si="20"/>
        <v>165922.39713346132</v>
      </c>
      <c r="BL135" s="26">
        <f t="shared" si="14"/>
        <v>1</v>
      </c>
      <c r="BM135" s="26">
        <f t="shared" si="15"/>
        <v>1</v>
      </c>
      <c r="BN135">
        <f t="shared" si="16"/>
        <v>999</v>
      </c>
      <c r="BO135">
        <f t="shared" si="17"/>
        <v>999</v>
      </c>
    </row>
    <row r="136" spans="1:67" x14ac:dyDescent="0.25">
      <c r="A136" s="57"/>
      <c r="B136" s="63"/>
      <c r="C136" s="56"/>
      <c r="G136" s="4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I136" s="3">
        <f t="shared" si="18"/>
        <v>11.166666666666677</v>
      </c>
      <c r="BJ136" s="1">
        <f t="shared" si="19"/>
        <v>168714.78607076927</v>
      </c>
      <c r="BK136" s="1">
        <f t="shared" si="20"/>
        <v>165507.94342593668</v>
      </c>
      <c r="BL136" s="26">
        <f t="shared" si="14"/>
        <v>1</v>
      </c>
      <c r="BM136" s="26">
        <f t="shared" si="15"/>
        <v>1</v>
      </c>
      <c r="BN136">
        <f t="shared" si="16"/>
        <v>999</v>
      </c>
      <c r="BO136">
        <f t="shared" si="17"/>
        <v>999</v>
      </c>
    </row>
    <row r="137" spans="1:67" x14ac:dyDescent="0.25">
      <c r="A137" s="57"/>
      <c r="B137" s="63"/>
      <c r="C137" s="56"/>
      <c r="G137" s="4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I137" s="3">
        <f t="shared" si="18"/>
        <v>11.250000000000011</v>
      </c>
      <c r="BJ137" s="1">
        <f t="shared" si="19"/>
        <v>168327.66238420506</v>
      </c>
      <c r="BK137" s="1">
        <f t="shared" si="20"/>
        <v>165092.4017774298</v>
      </c>
      <c r="BL137" s="26">
        <f t="shared" si="14"/>
        <v>1</v>
      </c>
      <c r="BM137" s="26">
        <f t="shared" si="15"/>
        <v>1</v>
      </c>
      <c r="BN137">
        <f t="shared" si="16"/>
        <v>999</v>
      </c>
      <c r="BO137">
        <f t="shared" si="17"/>
        <v>999</v>
      </c>
    </row>
    <row r="138" spans="1:67" x14ac:dyDescent="0.25">
      <c r="A138" s="57"/>
      <c r="B138" s="63"/>
      <c r="C138" s="56"/>
      <c r="G138" s="4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I138" s="3">
        <f t="shared" si="18"/>
        <v>11.333333333333345</v>
      </c>
      <c r="BJ138" s="1">
        <f t="shared" si="19"/>
        <v>167939.52249796363</v>
      </c>
      <c r="BK138" s="1">
        <f t="shared" si="20"/>
        <v>164675.76933209557</v>
      </c>
      <c r="BL138" s="26">
        <f t="shared" si="14"/>
        <v>1</v>
      </c>
      <c r="BM138" s="26">
        <f t="shared" si="15"/>
        <v>1</v>
      </c>
      <c r="BN138">
        <f t="shared" si="16"/>
        <v>999</v>
      </c>
      <c r="BO138">
        <f t="shared" si="17"/>
        <v>999</v>
      </c>
    </row>
    <row r="139" spans="1:67" x14ac:dyDescent="0.25">
      <c r="A139" s="57"/>
      <c r="B139" s="63"/>
      <c r="C139" s="56"/>
      <c r="G139" s="4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I139" s="3">
        <f t="shared" si="18"/>
        <v>11.416666666666679</v>
      </c>
      <c r="BJ139" s="1">
        <f t="shared" si="19"/>
        <v>167550.36374452079</v>
      </c>
      <c r="BK139" s="1">
        <f t="shared" si="20"/>
        <v>164258.04322659233</v>
      </c>
      <c r="BL139" s="26">
        <f t="shared" si="14"/>
        <v>1</v>
      </c>
      <c r="BM139" s="26">
        <f t="shared" si="15"/>
        <v>1</v>
      </c>
      <c r="BN139">
        <f t="shared" si="16"/>
        <v>999</v>
      </c>
      <c r="BO139">
        <f t="shared" si="17"/>
        <v>999</v>
      </c>
    </row>
    <row r="140" spans="1:67" x14ac:dyDescent="0.25">
      <c r="A140" s="57"/>
      <c r="B140" s="63"/>
      <c r="C140" s="56"/>
      <c r="G140" s="4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I140" s="3">
        <f t="shared" si="18"/>
        <v>11.500000000000012</v>
      </c>
      <c r="BJ140" s="1">
        <f t="shared" si="19"/>
        <v>167160.18344935018</v>
      </c>
      <c r="BK140" s="1">
        <f t="shared" si="20"/>
        <v>163839.22059006215</v>
      </c>
      <c r="BL140" s="26">
        <f t="shared" si="14"/>
        <v>1</v>
      </c>
      <c r="BM140" s="26">
        <f t="shared" si="15"/>
        <v>1</v>
      </c>
      <c r="BN140">
        <f t="shared" si="16"/>
        <v>999</v>
      </c>
      <c r="BO140">
        <f t="shared" si="17"/>
        <v>999</v>
      </c>
    </row>
    <row r="141" spans="1:67" x14ac:dyDescent="0.25">
      <c r="A141" s="57"/>
      <c r="B141" s="63"/>
      <c r="C141" s="56"/>
      <c r="G141" s="4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I141" s="3">
        <f t="shared" si="18"/>
        <v>11.583333333333346</v>
      </c>
      <c r="BJ141" s="1">
        <f t="shared" si="19"/>
        <v>166768.97893090473</v>
      </c>
      <c r="BK141" s="1">
        <f t="shared" si="20"/>
        <v>163419.29854411108</v>
      </c>
      <c r="BL141" s="26">
        <f t="shared" si="14"/>
        <v>1</v>
      </c>
      <c r="BM141" s="26">
        <f t="shared" si="15"/>
        <v>1</v>
      </c>
      <c r="BN141">
        <f t="shared" si="16"/>
        <v>999</v>
      </c>
      <c r="BO141">
        <f t="shared" si="17"/>
        <v>999</v>
      </c>
    </row>
    <row r="142" spans="1:67" x14ac:dyDescent="0.25">
      <c r="A142" s="57"/>
      <c r="B142" s="63"/>
      <c r="C142" s="56"/>
      <c r="G142" s="4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I142" s="3">
        <f t="shared" si="18"/>
        <v>11.66666666666668</v>
      </c>
      <c r="BJ142" s="1">
        <f t="shared" si="19"/>
        <v>166376.74750059837</v>
      </c>
      <c r="BK142" s="1">
        <f t="shared" si="20"/>
        <v>162998.27420278938</v>
      </c>
      <c r="BL142" s="26">
        <f t="shared" si="14"/>
        <v>1</v>
      </c>
      <c r="BM142" s="26">
        <f t="shared" si="15"/>
        <v>1</v>
      </c>
      <c r="BN142">
        <f t="shared" si="16"/>
        <v>999</v>
      </c>
      <c r="BO142">
        <f t="shared" si="17"/>
        <v>999</v>
      </c>
    </row>
    <row r="143" spans="1:67" x14ac:dyDescent="0.25">
      <c r="A143" s="57"/>
      <c r="B143" s="63"/>
      <c r="C143" s="56"/>
      <c r="G143" s="4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I143" s="3">
        <f t="shared" si="18"/>
        <v>11.750000000000014</v>
      </c>
      <c r="BJ143" s="1">
        <f t="shared" si="19"/>
        <v>165983.48646278746</v>
      </c>
      <c r="BK143" s="1">
        <f t="shared" si="20"/>
        <v>162576.14467257171</v>
      </c>
      <c r="BL143" s="26">
        <f t="shared" si="14"/>
        <v>1</v>
      </c>
      <c r="BM143" s="26">
        <f t="shared" si="15"/>
        <v>1</v>
      </c>
      <c r="BN143">
        <f t="shared" si="16"/>
        <v>999</v>
      </c>
      <c r="BO143">
        <f t="shared" si="17"/>
        <v>999</v>
      </c>
    </row>
    <row r="144" spans="1:67" x14ac:dyDescent="0.25">
      <c r="A144" s="57"/>
      <c r="B144" s="63"/>
      <c r="C144" s="56"/>
      <c r="G144" s="4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I144" s="3">
        <f t="shared" si="18"/>
        <v>11.833333333333348</v>
      </c>
      <c r="BJ144" s="1">
        <f t="shared" si="19"/>
        <v>165589.1931147523</v>
      </c>
      <c r="BK144" s="1">
        <f t="shared" si="20"/>
        <v>162152.90705233722</v>
      </c>
      <c r="BL144" s="26">
        <f t="shared" si="14"/>
        <v>1</v>
      </c>
      <c r="BM144" s="26">
        <f t="shared" si="15"/>
        <v>1</v>
      </c>
      <c r="BN144">
        <f t="shared" si="16"/>
        <v>999</v>
      </c>
      <c r="BO144">
        <f t="shared" si="17"/>
        <v>999</v>
      </c>
    </row>
    <row r="145" spans="1:67" x14ac:dyDescent="0.25">
      <c r="A145" s="57"/>
      <c r="B145" s="63"/>
      <c r="C145" s="56"/>
      <c r="G145" s="4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I145" s="3">
        <f t="shared" si="18"/>
        <v>11.916666666666682</v>
      </c>
      <c r="BJ145" s="1">
        <f t="shared" si="19"/>
        <v>165193.86474667853</v>
      </c>
      <c r="BK145" s="1">
        <f t="shared" si="20"/>
        <v>161728.55843334962</v>
      </c>
      <c r="BL145" s="26">
        <f t="shared" si="14"/>
        <v>1</v>
      </c>
      <c r="BM145" s="26">
        <f t="shared" si="15"/>
        <v>1</v>
      </c>
      <c r="BN145">
        <f t="shared" si="16"/>
        <v>999</v>
      </c>
      <c r="BO145">
        <f t="shared" si="17"/>
        <v>999</v>
      </c>
    </row>
    <row r="146" spans="1:67" x14ac:dyDescent="0.25">
      <c r="A146" s="57"/>
      <c r="B146" s="63"/>
      <c r="C146" s="56"/>
      <c r="G146" s="4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I146" s="3">
        <f t="shared" si="18"/>
        <v>12.000000000000016</v>
      </c>
      <c r="BJ146" s="1">
        <f t="shared" si="19"/>
        <v>164797.49864163858</v>
      </c>
      <c r="BK146" s="1">
        <f t="shared" si="20"/>
        <v>161303.09589923717</v>
      </c>
      <c r="BL146" s="26">
        <f t="shared" si="14"/>
        <v>1</v>
      </c>
      <c r="BM146" s="26">
        <f t="shared" si="15"/>
        <v>1</v>
      </c>
      <c r="BN146">
        <f t="shared" si="16"/>
        <v>999</v>
      </c>
      <c r="BO146">
        <f t="shared" si="17"/>
        <v>999</v>
      </c>
    </row>
    <row r="147" spans="1:67" x14ac:dyDescent="0.25">
      <c r="A147" s="57"/>
      <c r="B147" s="63"/>
      <c r="C147" s="56"/>
      <c r="G147" s="4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I147" s="3">
        <f t="shared" si="18"/>
        <v>12.08333333333335</v>
      </c>
      <c r="BJ147" s="1">
        <f t="shared" si="19"/>
        <v>164400.0920755729</v>
      </c>
      <c r="BK147" s="1">
        <f t="shared" si="20"/>
        <v>160876.51652597269</v>
      </c>
      <c r="BL147" s="26">
        <f t="shared" si="14"/>
        <v>1</v>
      </c>
      <c r="BM147" s="26">
        <f t="shared" si="15"/>
        <v>1</v>
      </c>
      <c r="BN147">
        <f t="shared" si="16"/>
        <v>999</v>
      </c>
      <c r="BO147">
        <f t="shared" si="17"/>
        <v>999</v>
      </c>
    </row>
    <row r="148" spans="1:67" x14ac:dyDescent="0.25">
      <c r="A148" s="57"/>
      <c r="B148" s="63"/>
      <c r="C148" s="56"/>
      <c r="G148" s="4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I148" s="3">
        <f t="shared" si="18"/>
        <v>12.166666666666684</v>
      </c>
      <c r="BJ148" s="1">
        <f t="shared" si="19"/>
        <v>164001.6423172713</v>
      </c>
      <c r="BK148" s="1">
        <f t="shared" si="20"/>
        <v>160448.81738185338</v>
      </c>
      <c r="BL148" s="26">
        <f t="shared" si="14"/>
        <v>1</v>
      </c>
      <c r="BM148" s="26">
        <f t="shared" si="15"/>
        <v>1</v>
      </c>
      <c r="BN148">
        <f t="shared" si="16"/>
        <v>999</v>
      </c>
      <c r="BO148">
        <f t="shared" si="17"/>
        <v>999</v>
      </c>
    </row>
    <row r="149" spans="1:67" x14ac:dyDescent="0.25">
      <c r="A149" s="57"/>
      <c r="B149" s="63"/>
      <c r="C149" s="56"/>
      <c r="G149" s="4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I149" s="3">
        <f t="shared" si="18"/>
        <v>12.250000000000018</v>
      </c>
      <c r="BJ149" s="1">
        <f t="shared" si="19"/>
        <v>163602.14662835415</v>
      </c>
      <c r="BK149" s="1">
        <f t="shared" si="20"/>
        <v>160019.99552748076</v>
      </c>
      <c r="BL149" s="26">
        <f t="shared" si="14"/>
        <v>1</v>
      </c>
      <c r="BM149" s="26">
        <f t="shared" si="15"/>
        <v>1</v>
      </c>
      <c r="BN149">
        <f t="shared" si="16"/>
        <v>999</v>
      </c>
      <c r="BO149">
        <f t="shared" si="17"/>
        <v>999</v>
      </c>
    </row>
    <row r="150" spans="1:67" x14ac:dyDescent="0.25">
      <c r="A150" s="57"/>
      <c r="B150" s="63"/>
      <c r="C150" s="56"/>
      <c r="G150" s="4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I150" s="3">
        <f t="shared" si="18"/>
        <v>12.333333333333352</v>
      </c>
      <c r="BJ150" s="1">
        <f t="shared" si="19"/>
        <v>163201.60226325359</v>
      </c>
      <c r="BK150" s="1">
        <f t="shared" si="20"/>
        <v>159590.04801574041</v>
      </c>
      <c r="BL150" s="26">
        <f t="shared" si="14"/>
        <v>1</v>
      </c>
      <c r="BM150" s="26">
        <f t="shared" si="15"/>
        <v>1</v>
      </c>
      <c r="BN150">
        <f t="shared" si="16"/>
        <v>999</v>
      </c>
      <c r="BO150">
        <f t="shared" si="17"/>
        <v>999</v>
      </c>
    </row>
    <row r="151" spans="1:67" x14ac:dyDescent="0.25">
      <c r="A151" s="57"/>
      <c r="B151" s="63"/>
      <c r="C151" s="56"/>
      <c r="G151" s="4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I151" s="3">
        <f t="shared" si="18"/>
        <v>12.416666666666686</v>
      </c>
      <c r="BJ151" s="1">
        <f t="shared" si="19"/>
        <v>162800.00646919466</v>
      </c>
      <c r="BK151" s="1">
        <f t="shared" si="20"/>
        <v>159158.97189178175</v>
      </c>
      <c r="BL151" s="26">
        <f t="shared" si="14"/>
        <v>1</v>
      </c>
      <c r="BM151" s="26">
        <f t="shared" si="15"/>
        <v>1</v>
      </c>
      <c r="BN151">
        <f t="shared" si="16"/>
        <v>999</v>
      </c>
      <c r="BO151">
        <f t="shared" si="17"/>
        <v>999</v>
      </c>
    </row>
    <row r="152" spans="1:67" x14ac:dyDescent="0.25">
      <c r="A152" s="57"/>
      <c r="B152" s="63"/>
      <c r="C152" s="56"/>
      <c r="G152" s="4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I152" s="3">
        <f t="shared" si="18"/>
        <v>12.50000000000002</v>
      </c>
      <c r="BJ152" s="1">
        <f t="shared" si="19"/>
        <v>162397.35648617632</v>
      </c>
      <c r="BK152" s="1">
        <f t="shared" si="20"/>
        <v>158726.76419299768</v>
      </c>
      <c r="BL152" s="26">
        <f t="shared" si="14"/>
        <v>1</v>
      </c>
      <c r="BM152" s="26">
        <f t="shared" si="15"/>
        <v>1</v>
      </c>
      <c r="BN152">
        <f t="shared" si="16"/>
        <v>999</v>
      </c>
      <c r="BO152">
        <f t="shared" si="17"/>
        <v>999</v>
      </c>
    </row>
    <row r="153" spans="1:67" x14ac:dyDescent="0.25">
      <c r="A153" s="57"/>
      <c r="B153" s="63"/>
      <c r="C153" s="56"/>
      <c r="G153" s="4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I153" s="3">
        <f t="shared" si="18"/>
        <v>12.583333333333353</v>
      </c>
      <c r="BJ153" s="1">
        <f t="shared" si="19"/>
        <v>161993.64954695254</v>
      </c>
      <c r="BK153" s="1">
        <f t="shared" si="20"/>
        <v>158293.42194900432</v>
      </c>
      <c r="BL153" s="26">
        <f t="shared" si="14"/>
        <v>1</v>
      </c>
      <c r="BM153" s="26">
        <f t="shared" si="15"/>
        <v>1</v>
      </c>
      <c r="BN153">
        <f t="shared" si="16"/>
        <v>999</v>
      </c>
      <c r="BO153">
        <f t="shared" si="17"/>
        <v>999</v>
      </c>
    </row>
    <row r="154" spans="1:67" x14ac:dyDescent="0.25">
      <c r="A154" s="57"/>
      <c r="B154" s="63"/>
      <c r="C154" s="56"/>
      <c r="G154" s="4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I154" s="3">
        <f t="shared" si="18"/>
        <v>12.666666666666687</v>
      </c>
      <c r="BJ154" s="1">
        <f t="shared" si="19"/>
        <v>161588.8828770133</v>
      </c>
      <c r="BK154" s="1">
        <f t="shared" si="20"/>
        <v>157858.94218162046</v>
      </c>
      <c r="BL154" s="26">
        <f t="shared" si="14"/>
        <v>1</v>
      </c>
      <c r="BM154" s="26">
        <f t="shared" si="15"/>
        <v>1</v>
      </c>
      <c r="BN154">
        <f t="shared" si="16"/>
        <v>999</v>
      </c>
      <c r="BO154">
        <f t="shared" si="17"/>
        <v>999</v>
      </c>
    </row>
    <row r="155" spans="1:67" x14ac:dyDescent="0.25">
      <c r="A155" s="57"/>
      <c r="B155" s="63"/>
      <c r="C155" s="56"/>
      <c r="G155" s="4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I155" s="3">
        <f t="shared" si="18"/>
        <v>12.750000000000021</v>
      </c>
      <c r="BJ155" s="1">
        <f t="shared" si="19"/>
        <v>161183.05369456546</v>
      </c>
      <c r="BK155" s="1">
        <f t="shared" si="20"/>
        <v>157423.32190484722</v>
      </c>
      <c r="BL155" s="26">
        <f t="shared" si="14"/>
        <v>1</v>
      </c>
      <c r="BM155" s="26">
        <f t="shared" si="15"/>
        <v>1</v>
      </c>
      <c r="BN155">
        <f t="shared" si="16"/>
        <v>999</v>
      </c>
      <c r="BO155">
        <f t="shared" si="17"/>
        <v>999</v>
      </c>
    </row>
    <row r="156" spans="1:67" x14ac:dyDescent="0.25">
      <c r="A156" s="57"/>
      <c r="B156" s="63"/>
      <c r="C156" s="56"/>
      <c r="G156" s="4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I156" s="3">
        <f t="shared" si="18"/>
        <v>12.833333333333355</v>
      </c>
      <c r="BJ156" s="1">
        <f t="shared" si="19"/>
        <v>160776.15921051372</v>
      </c>
      <c r="BK156" s="1">
        <f t="shared" si="20"/>
        <v>156986.55812484748</v>
      </c>
      <c r="BL156" s="26">
        <f t="shared" si="14"/>
        <v>1</v>
      </c>
      <c r="BM156" s="26">
        <f t="shared" si="15"/>
        <v>1</v>
      </c>
      <c r="BN156">
        <f t="shared" si="16"/>
        <v>999</v>
      </c>
      <c r="BO156">
        <f t="shared" si="17"/>
        <v>999</v>
      </c>
    </row>
    <row r="157" spans="1:67" x14ac:dyDescent="0.25">
      <c r="A157" s="57"/>
      <c r="B157" s="63"/>
      <c r="C157" s="56"/>
      <c r="G157" s="4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I157" s="3">
        <f t="shared" si="18"/>
        <v>12.916666666666689</v>
      </c>
      <c r="BJ157" s="1">
        <f t="shared" si="19"/>
        <v>160368.19662844134</v>
      </c>
      <c r="BK157" s="1">
        <f t="shared" si="20"/>
        <v>156548.64783992522</v>
      </c>
      <c r="BL157" s="26">
        <f t="shared" si="14"/>
        <v>1</v>
      </c>
      <c r="BM157" s="26">
        <f t="shared" si="15"/>
        <v>1</v>
      </c>
      <c r="BN157">
        <f t="shared" si="16"/>
        <v>999</v>
      </c>
      <c r="BO157">
        <f t="shared" si="17"/>
        <v>999</v>
      </c>
    </row>
    <row r="158" spans="1:67" x14ac:dyDescent="0.25">
      <c r="A158" s="57"/>
      <c r="B158" s="63"/>
      <c r="C158" s="56"/>
      <c r="G158" s="4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I158" s="3">
        <f t="shared" si="18"/>
        <v>13.000000000000023</v>
      </c>
      <c r="BJ158" s="1">
        <f t="shared" si="19"/>
        <v>159959.163144591</v>
      </c>
      <c r="BK158" s="1">
        <f t="shared" si="20"/>
        <v>156109.58804050504</v>
      </c>
      <c r="BL158" s="26">
        <f t="shared" si="14"/>
        <v>1</v>
      </c>
      <c r="BM158" s="26">
        <f t="shared" si="15"/>
        <v>1</v>
      </c>
      <c r="BN158">
        <f t="shared" si="16"/>
        <v>999</v>
      </c>
      <c r="BO158">
        <f t="shared" si="17"/>
        <v>999</v>
      </c>
    </row>
    <row r="159" spans="1:67" x14ac:dyDescent="0.25">
      <c r="A159" s="57"/>
      <c r="B159" s="63"/>
      <c r="C159" s="56"/>
      <c r="BI159" s="3">
        <f t="shared" si="18"/>
        <v>13.083333333333357</v>
      </c>
      <c r="BJ159" s="1">
        <f t="shared" si="19"/>
        <v>159549.05594784557</v>
      </c>
      <c r="BK159" s="1">
        <f t="shared" si="20"/>
        <v>155669.37570911139</v>
      </c>
      <c r="BL159" s="26">
        <f t="shared" si="14"/>
        <v>1</v>
      </c>
      <c r="BM159" s="26">
        <f t="shared" si="15"/>
        <v>1</v>
      </c>
      <c r="BN159">
        <f t="shared" si="16"/>
        <v>999</v>
      </c>
      <c r="BO159">
        <f t="shared" si="17"/>
        <v>999</v>
      </c>
    </row>
    <row r="160" spans="1:67" x14ac:dyDescent="0.25">
      <c r="A160" s="57"/>
      <c r="B160" s="63"/>
      <c r="C160" s="56"/>
      <c r="BI160" s="3">
        <f t="shared" si="18"/>
        <v>13.166666666666691</v>
      </c>
      <c r="BJ160" s="1">
        <f t="shared" si="19"/>
        <v>159137.87221970869</v>
      </c>
      <c r="BK160" s="1">
        <f t="shared" si="20"/>
        <v>155228.00782034782</v>
      </c>
      <c r="BL160" s="26">
        <f t="shared" si="14"/>
        <v>1</v>
      </c>
      <c r="BM160" s="26">
        <f t="shared" si="15"/>
        <v>1</v>
      </c>
      <c r="BN160">
        <f t="shared" si="16"/>
        <v>999</v>
      </c>
      <c r="BO160">
        <f t="shared" si="17"/>
        <v>999</v>
      </c>
    </row>
    <row r="161" spans="1:67" x14ac:dyDescent="0.25">
      <c r="A161" s="57"/>
      <c r="B161" s="63"/>
      <c r="C161" s="56"/>
      <c r="BI161" s="3">
        <f t="shared" si="18"/>
        <v>13.250000000000025</v>
      </c>
      <c r="BJ161" s="1">
        <f t="shared" si="19"/>
        <v>158725.60913428545</v>
      </c>
      <c r="BK161" s="1">
        <f t="shared" si="20"/>
        <v>154785.48134087626</v>
      </c>
      <c r="BL161" s="26">
        <f t="shared" si="14"/>
        <v>1</v>
      </c>
      <c r="BM161" s="26">
        <f t="shared" si="15"/>
        <v>1</v>
      </c>
      <c r="BN161">
        <f t="shared" si="16"/>
        <v>999</v>
      </c>
      <c r="BO161">
        <f t="shared" si="17"/>
        <v>999</v>
      </c>
    </row>
    <row r="162" spans="1:67" x14ac:dyDescent="0.25">
      <c r="A162" s="57"/>
      <c r="B162" s="63"/>
      <c r="C162" s="56"/>
      <c r="BI162" s="3">
        <f t="shared" si="18"/>
        <v>13.333333333333359</v>
      </c>
      <c r="BJ162" s="1">
        <f t="shared" si="19"/>
        <v>158312.26385826297</v>
      </c>
      <c r="BK162" s="1">
        <f t="shared" si="20"/>
        <v>154341.79322939608</v>
      </c>
      <c r="BL162" s="26">
        <f t="shared" si="14"/>
        <v>1</v>
      </c>
      <c r="BM162" s="26">
        <f t="shared" si="15"/>
        <v>1</v>
      </c>
      <c r="BN162">
        <f t="shared" si="16"/>
        <v>999</v>
      </c>
      <c r="BO162">
        <f t="shared" si="17"/>
        <v>999</v>
      </c>
    </row>
    <row r="163" spans="1:67" x14ac:dyDescent="0.25">
      <c r="A163" s="57"/>
      <c r="B163" s="63"/>
      <c r="C163" s="56"/>
      <c r="BI163" s="3">
        <f t="shared" si="18"/>
        <v>13.416666666666693</v>
      </c>
      <c r="BJ163" s="1">
        <f t="shared" si="19"/>
        <v>157897.83355089094</v>
      </c>
      <c r="BK163" s="1">
        <f t="shared" si="20"/>
        <v>153896.94043662326</v>
      </c>
      <c r="BL163" s="26">
        <f t="shared" si="14"/>
        <v>1</v>
      </c>
      <c r="BM163" s="26">
        <f t="shared" si="15"/>
        <v>1</v>
      </c>
      <c r="BN163">
        <f t="shared" si="16"/>
        <v>999</v>
      </c>
      <c r="BO163">
        <f t="shared" si="17"/>
        <v>999</v>
      </c>
    </row>
    <row r="164" spans="1:67" x14ac:dyDescent="0.25">
      <c r="A164" s="57"/>
      <c r="B164" s="63"/>
      <c r="C164" s="56"/>
      <c r="BI164" s="3">
        <f t="shared" si="18"/>
        <v>13.500000000000027</v>
      </c>
      <c r="BJ164" s="1">
        <f t="shared" si="19"/>
        <v>157482.31536396203</v>
      </c>
      <c r="BK164" s="1">
        <f t="shared" si="20"/>
        <v>153450.9199052694</v>
      </c>
      <c r="BL164" s="26">
        <f t="shared" si="14"/>
        <v>1</v>
      </c>
      <c r="BM164" s="26">
        <f t="shared" si="15"/>
        <v>1</v>
      </c>
      <c r="BN164">
        <f t="shared" si="16"/>
        <v>999</v>
      </c>
      <c r="BO164">
        <f t="shared" si="17"/>
        <v>999</v>
      </c>
    </row>
    <row r="165" spans="1:67" x14ac:dyDescent="0.25">
      <c r="A165" s="57"/>
      <c r="B165" s="63"/>
      <c r="C165" s="56"/>
      <c r="BI165" s="3">
        <f t="shared" si="18"/>
        <v>13.583333333333361</v>
      </c>
      <c r="BJ165" s="1">
        <f t="shared" si="19"/>
        <v>157065.70644179246</v>
      </c>
      <c r="BK165" s="1">
        <f t="shared" si="20"/>
        <v>153003.72857002076</v>
      </c>
      <c r="BL165" s="26">
        <f t="shared" si="14"/>
        <v>1</v>
      </c>
      <c r="BM165" s="26">
        <f t="shared" si="15"/>
        <v>1</v>
      </c>
      <c r="BN165">
        <f t="shared" si="16"/>
        <v>999</v>
      </c>
      <c r="BO165">
        <f t="shared" si="17"/>
        <v>999</v>
      </c>
    </row>
    <row r="166" spans="1:67" x14ac:dyDescent="0.25">
      <c r="A166" s="57"/>
      <c r="B166" s="63"/>
      <c r="C166" s="56"/>
      <c r="BI166" s="3">
        <f t="shared" si="18"/>
        <v>13.666666666666694</v>
      </c>
      <c r="BJ166" s="1">
        <f t="shared" si="19"/>
        <v>156648.00392120218</v>
      </c>
      <c r="BK166" s="1">
        <f t="shared" si="20"/>
        <v>152555.36335751708</v>
      </c>
      <c r="BL166" s="26">
        <f t="shared" si="14"/>
        <v>1</v>
      </c>
      <c r="BM166" s="26">
        <f t="shared" si="15"/>
        <v>1</v>
      </c>
      <c r="BN166">
        <f t="shared" si="16"/>
        <v>999</v>
      </c>
      <c r="BO166">
        <f t="shared" si="17"/>
        <v>999</v>
      </c>
    </row>
    <row r="167" spans="1:67" x14ac:dyDescent="0.25">
      <c r="A167" s="57"/>
      <c r="B167" s="63"/>
      <c r="C167" s="56"/>
      <c r="BI167" s="3">
        <f t="shared" si="18"/>
        <v>13.750000000000028</v>
      </c>
      <c r="BJ167" s="1">
        <f t="shared" si="19"/>
        <v>156229.20493149536</v>
      </c>
      <c r="BK167" s="1">
        <f t="shared" si="20"/>
        <v>152105.82118633058</v>
      </c>
      <c r="BL167" s="26">
        <f t="shared" si="14"/>
        <v>1</v>
      </c>
      <c r="BM167" s="26">
        <f t="shared" si="15"/>
        <v>1</v>
      </c>
      <c r="BN167">
        <f t="shared" si="16"/>
        <v>999</v>
      </c>
      <c r="BO167">
        <f t="shared" si="17"/>
        <v>999</v>
      </c>
    </row>
    <row r="168" spans="1:67" x14ac:dyDescent="0.25">
      <c r="A168" s="57"/>
      <c r="B168" s="63"/>
      <c r="C168" s="56"/>
      <c r="BI168" s="3">
        <f t="shared" si="18"/>
        <v>13.833333333333362</v>
      </c>
      <c r="BJ168" s="1">
        <f t="shared" si="19"/>
        <v>155809.30659444054</v>
      </c>
      <c r="BK168" s="1">
        <f t="shared" si="20"/>
        <v>151655.0989669447</v>
      </c>
      <c r="BL168" s="26">
        <f t="shared" si="14"/>
        <v>1</v>
      </c>
      <c r="BM168" s="26">
        <f t="shared" si="15"/>
        <v>1</v>
      </c>
      <c r="BN168">
        <f t="shared" si="16"/>
        <v>999</v>
      </c>
      <c r="BO168">
        <f t="shared" si="17"/>
        <v>999</v>
      </c>
    </row>
    <row r="169" spans="1:67" x14ac:dyDescent="0.25">
      <c r="A169" s="57"/>
      <c r="B169" s="63"/>
      <c r="C169" s="56"/>
      <c r="BI169" s="3">
        <f t="shared" si="18"/>
        <v>13.916666666666696</v>
      </c>
      <c r="BJ169" s="1">
        <f t="shared" si="19"/>
        <v>155388.30602425095</v>
      </c>
      <c r="BK169" s="1">
        <f t="shared" si="20"/>
        <v>151203.19360173296</v>
      </c>
      <c r="BL169" s="26">
        <f t="shared" si="14"/>
        <v>1</v>
      </c>
      <c r="BM169" s="26">
        <f t="shared" si="15"/>
        <v>1</v>
      </c>
      <c r="BN169">
        <f t="shared" si="16"/>
        <v>999</v>
      </c>
      <c r="BO169">
        <f t="shared" si="17"/>
        <v>999</v>
      </c>
    </row>
    <row r="170" spans="1:67" x14ac:dyDescent="0.25">
      <c r="A170" s="57"/>
      <c r="B170" s="63"/>
      <c r="C170" s="56"/>
      <c r="BI170" s="3">
        <f t="shared" si="18"/>
        <v>14.00000000000003</v>
      </c>
      <c r="BJ170" s="1">
        <f t="shared" si="19"/>
        <v>154966.20032756461</v>
      </c>
      <c r="BK170" s="1">
        <f t="shared" si="20"/>
        <v>150750.10198493753</v>
      </c>
      <c r="BL170" s="26">
        <f t="shared" si="14"/>
        <v>1</v>
      </c>
      <c r="BM170" s="26">
        <f t="shared" si="15"/>
        <v>1</v>
      </c>
      <c r="BN170">
        <f t="shared" si="16"/>
        <v>999</v>
      </c>
      <c r="BO170">
        <f t="shared" si="17"/>
        <v>999</v>
      </c>
    </row>
    <row r="171" spans="1:67" x14ac:dyDescent="0.25">
      <c r="A171" s="57"/>
      <c r="B171" s="63"/>
      <c r="C171" s="56"/>
      <c r="BI171" s="3">
        <f t="shared" si="18"/>
        <v>14.083333333333364</v>
      </c>
      <c r="BJ171" s="1">
        <f t="shared" si="19"/>
        <v>154542.98660342448</v>
      </c>
      <c r="BK171" s="1">
        <f t="shared" si="20"/>
        <v>150295.82100264801</v>
      </c>
      <c r="BL171" s="26">
        <f t="shared" si="14"/>
        <v>1</v>
      </c>
      <c r="BM171" s="26">
        <f t="shared" si="15"/>
        <v>1</v>
      </c>
      <c r="BN171">
        <f t="shared" si="16"/>
        <v>999</v>
      </c>
      <c r="BO171">
        <f t="shared" si="17"/>
        <v>999</v>
      </c>
    </row>
    <row r="172" spans="1:67" x14ac:dyDescent="0.25">
      <c r="A172" s="57"/>
      <c r="B172" s="63"/>
      <c r="C172" s="56"/>
      <c r="BI172" s="3">
        <f t="shared" si="18"/>
        <v>14.166666666666698</v>
      </c>
      <c r="BJ172" s="1">
        <f t="shared" si="19"/>
        <v>154118.66194325848</v>
      </c>
      <c r="BK172" s="1">
        <f t="shared" si="20"/>
        <v>149840.34753277997</v>
      </c>
      <c r="BL172" s="26">
        <f t="shared" si="14"/>
        <v>1</v>
      </c>
      <c r="BM172" s="26">
        <f t="shared" si="15"/>
        <v>1</v>
      </c>
      <c r="BN172">
        <f t="shared" si="16"/>
        <v>999</v>
      </c>
      <c r="BO172">
        <f t="shared" si="17"/>
        <v>999</v>
      </c>
    </row>
    <row r="173" spans="1:67" x14ac:dyDescent="0.25">
      <c r="A173" s="57"/>
      <c r="B173" s="63"/>
      <c r="C173" s="56"/>
      <c r="BI173" s="3">
        <f t="shared" si="18"/>
        <v>14.250000000000032</v>
      </c>
      <c r="BJ173" s="1">
        <f t="shared" si="19"/>
        <v>153693.22343085957</v>
      </c>
      <c r="BK173" s="1">
        <f t="shared" si="20"/>
        <v>149383.67844505352</v>
      </c>
      <c r="BL173" s="26">
        <f t="shared" si="14"/>
        <v>1</v>
      </c>
      <c r="BM173" s="26">
        <f t="shared" si="15"/>
        <v>1</v>
      </c>
      <c r="BN173">
        <f t="shared" si="16"/>
        <v>999</v>
      </c>
      <c r="BO173">
        <f t="shared" si="17"/>
        <v>999</v>
      </c>
    </row>
    <row r="174" spans="1:67" x14ac:dyDescent="0.25">
      <c r="A174" s="57"/>
      <c r="B174" s="63"/>
      <c r="C174" s="56"/>
      <c r="BI174" s="3">
        <f t="shared" si="18"/>
        <v>14.333333333333366</v>
      </c>
      <c r="BJ174" s="1">
        <f t="shared" si="19"/>
        <v>153266.66814236558</v>
      </c>
      <c r="BK174" s="1">
        <f t="shared" si="20"/>
        <v>148925.8106009718</v>
      </c>
      <c r="BL174" s="26">
        <f t="shared" si="14"/>
        <v>1</v>
      </c>
      <c r="BM174" s="26">
        <f t="shared" si="15"/>
        <v>1</v>
      </c>
      <c r="BN174">
        <f t="shared" si="16"/>
        <v>999</v>
      </c>
      <c r="BO174">
        <f t="shared" si="17"/>
        <v>999</v>
      </c>
    </row>
    <row r="175" spans="1:67" x14ac:dyDescent="0.25">
      <c r="A175" s="57"/>
      <c r="B175" s="63"/>
      <c r="C175" s="56"/>
      <c r="BI175" s="3">
        <f t="shared" si="18"/>
        <v>14.4166666666667</v>
      </c>
      <c r="BJ175" s="1">
        <f t="shared" si="19"/>
        <v>152838.99314623931</v>
      </c>
      <c r="BK175" s="1">
        <f t="shared" si="20"/>
        <v>148466.74085379936</v>
      </c>
      <c r="BL175" s="26">
        <f t="shared" si="14"/>
        <v>1</v>
      </c>
      <c r="BM175" s="26">
        <f t="shared" si="15"/>
        <v>1</v>
      </c>
      <c r="BN175">
        <f t="shared" si="16"/>
        <v>999</v>
      </c>
      <c r="BO175">
        <f t="shared" si="17"/>
        <v>999</v>
      </c>
    </row>
    <row r="176" spans="1:67" x14ac:dyDescent="0.25">
      <c r="A176" s="57"/>
      <c r="B176" s="63"/>
      <c r="C176" s="56"/>
      <c r="BI176" s="3">
        <f t="shared" si="18"/>
        <v>14.500000000000034</v>
      </c>
      <c r="BJ176" s="1">
        <f t="shared" si="19"/>
        <v>152410.19550324822</v>
      </c>
      <c r="BK176" s="1">
        <f t="shared" si="20"/>
        <v>148006.46604854061</v>
      </c>
      <c r="BL176" s="26">
        <f t="shared" si="14"/>
        <v>1</v>
      </c>
      <c r="BM176" s="26">
        <f t="shared" si="15"/>
        <v>1</v>
      </c>
      <c r="BN176">
        <f t="shared" si="16"/>
        <v>999</v>
      </c>
      <c r="BO176">
        <f t="shared" si="17"/>
        <v>999</v>
      </c>
    </row>
    <row r="177" spans="1:67" x14ac:dyDescent="0.25">
      <c r="A177" s="57"/>
      <c r="B177" s="63"/>
      <c r="C177" s="56"/>
      <c r="BI177" s="3">
        <f t="shared" si="18"/>
        <v>14.583333333333368</v>
      </c>
      <c r="BJ177" s="1">
        <f t="shared" si="19"/>
        <v>151980.27226644426</v>
      </c>
      <c r="BK177" s="1">
        <f t="shared" si="20"/>
        <v>147544.98302191804</v>
      </c>
      <c r="BL177" s="26">
        <f t="shared" si="14"/>
        <v>1</v>
      </c>
      <c r="BM177" s="26">
        <f t="shared" si="15"/>
        <v>1</v>
      </c>
      <c r="BN177">
        <f t="shared" si="16"/>
        <v>999</v>
      </c>
      <c r="BO177">
        <f t="shared" si="17"/>
        <v>999</v>
      </c>
    </row>
    <row r="178" spans="1:67" x14ac:dyDescent="0.25">
      <c r="A178" s="57"/>
      <c r="B178" s="63"/>
      <c r="C178" s="56"/>
      <c r="BI178" s="3">
        <f t="shared" si="18"/>
        <v>14.666666666666702</v>
      </c>
      <c r="BJ178" s="1">
        <f t="shared" si="19"/>
        <v>151549.22048114368</v>
      </c>
      <c r="BK178" s="1">
        <f t="shared" si="20"/>
        <v>147082.2886023506</v>
      </c>
      <c r="BL178" s="26">
        <f t="shared" si="14"/>
        <v>1</v>
      </c>
      <c r="BM178" s="26">
        <f t="shared" si="15"/>
        <v>1</v>
      </c>
      <c r="BN178">
        <f t="shared" si="16"/>
        <v>999</v>
      </c>
      <c r="BO178">
        <f t="shared" si="17"/>
        <v>999</v>
      </c>
    </row>
    <row r="179" spans="1:67" x14ac:dyDescent="0.25">
      <c r="A179" s="57"/>
      <c r="B179" s="63"/>
      <c r="C179" s="56"/>
      <c r="BI179" s="3">
        <f t="shared" si="18"/>
        <v>14.750000000000036</v>
      </c>
      <c r="BJ179" s="1">
        <f t="shared" si="19"/>
        <v>151117.03718490669</v>
      </c>
      <c r="BK179" s="1">
        <f t="shared" si="20"/>
        <v>146618.37960993178</v>
      </c>
      <c r="BL179" s="26">
        <f t="shared" si="14"/>
        <v>1</v>
      </c>
      <c r="BM179" s="26">
        <f t="shared" si="15"/>
        <v>1</v>
      </c>
      <c r="BN179">
        <f t="shared" si="16"/>
        <v>999</v>
      </c>
      <c r="BO179">
        <f t="shared" si="17"/>
        <v>999</v>
      </c>
    </row>
    <row r="180" spans="1:67" x14ac:dyDescent="0.25">
      <c r="A180" s="57"/>
      <c r="B180" s="63"/>
      <c r="C180" s="56"/>
      <c r="BI180" s="3">
        <f t="shared" si="18"/>
        <v>14.833333333333369</v>
      </c>
      <c r="BJ180" s="1">
        <f t="shared" si="19"/>
        <v>150683.71940751708</v>
      </c>
      <c r="BK180" s="1">
        <f t="shared" si="20"/>
        <v>146153.25285640787</v>
      </c>
      <c r="BL180" s="26">
        <f t="shared" si="14"/>
        <v>1</v>
      </c>
      <c r="BM180" s="26">
        <f t="shared" si="15"/>
        <v>1</v>
      </c>
      <c r="BN180">
        <f t="shared" si="16"/>
        <v>999</v>
      </c>
      <c r="BO180">
        <f t="shared" si="17"/>
        <v>999</v>
      </c>
    </row>
    <row r="181" spans="1:67" x14ac:dyDescent="0.25">
      <c r="A181" s="57"/>
      <c r="B181" s="63"/>
      <c r="C181" s="56"/>
      <c r="BI181" s="3">
        <f t="shared" si="18"/>
        <v>14.916666666666703</v>
      </c>
      <c r="BJ181" s="1">
        <f t="shared" si="19"/>
        <v>150249.26417096183</v>
      </c>
      <c r="BK181" s="1">
        <f t="shared" si="20"/>
        <v>145686.90514515596</v>
      </c>
      <c r="BL181" s="26">
        <f t="shared" si="14"/>
        <v>1</v>
      </c>
      <c r="BM181" s="26">
        <f t="shared" si="15"/>
        <v>1</v>
      </c>
      <c r="BN181">
        <f t="shared" si="16"/>
        <v>999</v>
      </c>
      <c r="BO181">
        <f t="shared" si="17"/>
        <v>999</v>
      </c>
    </row>
    <row r="182" spans="1:67" x14ac:dyDescent="0.25">
      <c r="A182" s="57"/>
      <c r="B182" s="63"/>
      <c r="C182" s="56"/>
      <c r="BI182" s="3">
        <f t="shared" si="18"/>
        <v>15.000000000000037</v>
      </c>
      <c r="BJ182" s="1">
        <f t="shared" si="19"/>
        <v>149813.66848941063</v>
      </c>
      <c r="BK182" s="1">
        <f t="shared" si="20"/>
        <v>145219.333271162</v>
      </c>
      <c r="BL182" s="26">
        <f t="shared" si="14"/>
        <v>1</v>
      </c>
      <c r="BM182" s="26">
        <f t="shared" si="15"/>
        <v>1</v>
      </c>
      <c r="BN182">
        <f t="shared" si="16"/>
        <v>999</v>
      </c>
      <c r="BO182">
        <f t="shared" si="17"/>
        <v>999</v>
      </c>
    </row>
    <row r="183" spans="1:67" x14ac:dyDescent="0.25">
      <c r="A183" s="57"/>
      <c r="B183" s="63"/>
      <c r="C183" s="56"/>
      <c r="BI183" s="3">
        <f t="shared" si="18"/>
        <v>15.083333333333371</v>
      </c>
      <c r="BJ183" s="1">
        <f t="shared" si="19"/>
        <v>149376.92936919534</v>
      </c>
      <c r="BK183" s="1">
        <f t="shared" si="20"/>
        <v>144750.53402099881</v>
      </c>
      <c r="BL183" s="26">
        <f t="shared" si="14"/>
        <v>1</v>
      </c>
      <c r="BM183" s="26">
        <f t="shared" si="15"/>
        <v>1</v>
      </c>
      <c r="BN183">
        <f t="shared" si="16"/>
        <v>999</v>
      </c>
      <c r="BO183">
        <f t="shared" si="17"/>
        <v>999</v>
      </c>
    </row>
    <row r="184" spans="1:67" x14ac:dyDescent="0.25">
      <c r="A184" s="57"/>
      <c r="B184" s="63"/>
      <c r="C184" s="56"/>
      <c r="BI184" s="3">
        <f t="shared" si="18"/>
        <v>15.166666666666705</v>
      </c>
      <c r="BJ184" s="1">
        <f t="shared" si="19"/>
        <v>148939.04380878949</v>
      </c>
      <c r="BK184" s="1">
        <f t="shared" si="20"/>
        <v>144280.50417280395</v>
      </c>
      <c r="BL184" s="26">
        <f t="shared" si="14"/>
        <v>1</v>
      </c>
      <c r="BM184" s="26">
        <f t="shared" si="15"/>
        <v>1</v>
      </c>
      <c r="BN184">
        <f t="shared" si="16"/>
        <v>999</v>
      </c>
      <c r="BO184">
        <f t="shared" si="17"/>
        <v>999</v>
      </c>
    </row>
    <row r="185" spans="1:67" x14ac:dyDescent="0.25">
      <c r="A185" s="57"/>
      <c r="B185" s="63"/>
      <c r="C185" s="56"/>
      <c r="BI185" s="3">
        <f t="shared" si="18"/>
        <v>15.250000000000039</v>
      </c>
      <c r="BJ185" s="1">
        <f t="shared" si="19"/>
        <v>148500.00879878757</v>
      </c>
      <c r="BK185" s="1">
        <f t="shared" si="20"/>
        <v>143809.24049625758</v>
      </c>
      <c r="BL185" s="26">
        <f t="shared" si="14"/>
        <v>1</v>
      </c>
      <c r="BM185" s="26">
        <f t="shared" si="15"/>
        <v>1</v>
      </c>
      <c r="BN185">
        <f t="shared" si="16"/>
        <v>999</v>
      </c>
      <c r="BO185">
        <f t="shared" si="17"/>
        <v>999</v>
      </c>
    </row>
    <row r="186" spans="1:67" x14ac:dyDescent="0.25">
      <c r="A186" s="57"/>
      <c r="B186" s="63"/>
      <c r="C186" s="56"/>
      <c r="BI186" s="3">
        <f t="shared" si="18"/>
        <v>15.333333333333373</v>
      </c>
      <c r="BJ186" s="1">
        <f t="shared" si="19"/>
        <v>148059.8213218844</v>
      </c>
      <c r="BK186" s="1">
        <f t="shared" si="20"/>
        <v>143336.73975256027</v>
      </c>
      <c r="BL186" s="26">
        <f t="shared" si="14"/>
        <v>1</v>
      </c>
      <c r="BM186" s="26">
        <f t="shared" si="15"/>
        <v>1</v>
      </c>
      <c r="BN186">
        <f t="shared" si="16"/>
        <v>999</v>
      </c>
      <c r="BO186">
        <f t="shared" si="17"/>
        <v>999</v>
      </c>
    </row>
    <row r="187" spans="1:67" x14ac:dyDescent="0.25">
      <c r="A187" s="57"/>
      <c r="B187" s="63"/>
      <c r="C187" s="56"/>
      <c r="BI187" s="3">
        <f t="shared" si="18"/>
        <v>15.416666666666707</v>
      </c>
      <c r="BJ187" s="1">
        <f t="shared" si="19"/>
        <v>147618.47835285438</v>
      </c>
      <c r="BK187" s="1">
        <f t="shared" si="20"/>
        <v>142862.99869441075</v>
      </c>
      <c r="BL187" s="26">
        <f t="shared" si="14"/>
        <v>1</v>
      </c>
      <c r="BM187" s="26">
        <f t="shared" si="15"/>
        <v>1</v>
      </c>
      <c r="BN187">
        <f t="shared" si="16"/>
        <v>999</v>
      </c>
      <c r="BO187">
        <f t="shared" si="17"/>
        <v>999</v>
      </c>
    </row>
    <row r="188" spans="1:67" x14ac:dyDescent="0.25">
      <c r="A188" s="57"/>
      <c r="B188" s="63"/>
      <c r="C188" s="56"/>
      <c r="BI188" s="3">
        <f t="shared" si="18"/>
        <v>15.500000000000041</v>
      </c>
      <c r="BJ188" s="1">
        <f t="shared" si="19"/>
        <v>147175.97685853063</v>
      </c>
      <c r="BK188" s="1">
        <f t="shared" si="20"/>
        <v>142388.01406598359</v>
      </c>
      <c r="BL188" s="26">
        <f t="shared" si="14"/>
        <v>1</v>
      </c>
      <c r="BM188" s="26">
        <f t="shared" si="15"/>
        <v>1</v>
      </c>
      <c r="BN188">
        <f t="shared" si="16"/>
        <v>999</v>
      </c>
      <c r="BO188">
        <f t="shared" si="17"/>
        <v>999</v>
      </c>
    </row>
    <row r="189" spans="1:67" x14ac:dyDescent="0.25">
      <c r="A189" s="57"/>
      <c r="B189" s="63"/>
      <c r="C189" s="56"/>
      <c r="BI189" s="3">
        <f t="shared" si="18"/>
        <v>15.583333333333375</v>
      </c>
      <c r="BJ189" s="1">
        <f t="shared" si="19"/>
        <v>146732.3137977843</v>
      </c>
      <c r="BK189" s="1">
        <f t="shared" si="20"/>
        <v>141911.78260290681</v>
      </c>
      <c r="BL189" s="26">
        <f t="shared" si="14"/>
        <v>1</v>
      </c>
      <c r="BM189" s="26">
        <f t="shared" si="15"/>
        <v>1</v>
      </c>
      <c r="BN189">
        <f t="shared" si="16"/>
        <v>999</v>
      </c>
      <c r="BO189">
        <f t="shared" si="17"/>
        <v>999</v>
      </c>
    </row>
    <row r="190" spans="1:67" x14ac:dyDescent="0.25">
      <c r="A190" s="57"/>
      <c r="B190" s="63"/>
      <c r="C190" s="56"/>
      <c r="BI190" s="3">
        <f t="shared" si="18"/>
        <v>15.666666666666709</v>
      </c>
      <c r="BJ190" s="1">
        <f t="shared" si="19"/>
        <v>146287.48612150349</v>
      </c>
      <c r="BK190" s="1">
        <f t="shared" si="20"/>
        <v>141434.30103223945</v>
      </c>
      <c r="BL190" s="26">
        <f t="shared" si="14"/>
        <v>1</v>
      </c>
      <c r="BM190" s="26">
        <f t="shared" si="15"/>
        <v>1</v>
      </c>
      <c r="BN190">
        <f t="shared" si="16"/>
        <v>999</v>
      </c>
      <c r="BO190">
        <f t="shared" si="17"/>
        <v>999</v>
      </c>
    </row>
    <row r="191" spans="1:67" x14ac:dyDescent="0.25">
      <c r="A191" s="57"/>
      <c r="B191" s="63"/>
      <c r="C191" s="56"/>
      <c r="BI191" s="3">
        <f t="shared" si="18"/>
        <v>15.750000000000043</v>
      </c>
      <c r="BJ191" s="1">
        <f t="shared" si="19"/>
        <v>145841.49077257246</v>
      </c>
      <c r="BK191" s="1">
        <f t="shared" si="20"/>
        <v>140955.56607244909</v>
      </c>
      <c r="BL191" s="26">
        <f t="shared" si="14"/>
        <v>1</v>
      </c>
      <c r="BM191" s="26">
        <f t="shared" si="15"/>
        <v>1</v>
      </c>
      <c r="BN191">
        <f t="shared" si="16"/>
        <v>999</v>
      </c>
      <c r="BO191">
        <f t="shared" si="17"/>
        <v>999</v>
      </c>
    </row>
    <row r="192" spans="1:67" x14ac:dyDescent="0.25">
      <c r="A192" s="57"/>
      <c r="B192" s="63"/>
      <c r="C192" s="56"/>
      <c r="BI192" s="3">
        <f t="shared" si="18"/>
        <v>15.833333333333377</v>
      </c>
      <c r="BJ192" s="1">
        <f t="shared" si="19"/>
        <v>145394.32468585047</v>
      </c>
      <c r="BK192" s="1">
        <f t="shared" si="20"/>
        <v>140475.57443338929</v>
      </c>
      <c r="BL192" s="26">
        <f t="shared" si="14"/>
        <v>1</v>
      </c>
      <c r="BM192" s="26">
        <f t="shared" si="15"/>
        <v>1</v>
      </c>
      <c r="BN192">
        <f t="shared" si="16"/>
        <v>999</v>
      </c>
      <c r="BO192">
        <f t="shared" si="17"/>
        <v>999</v>
      </c>
    </row>
    <row r="193" spans="1:67" x14ac:dyDescent="0.25">
      <c r="A193" s="57"/>
      <c r="B193" s="63"/>
      <c r="C193" s="56"/>
      <c r="BI193" s="3">
        <f t="shared" si="18"/>
        <v>15.91666666666671</v>
      </c>
      <c r="BJ193" s="1">
        <f t="shared" si="19"/>
        <v>144945.98478815085</v>
      </c>
      <c r="BK193" s="1">
        <f t="shared" si="20"/>
        <v>139994.32281627695</v>
      </c>
      <c r="BL193" s="26">
        <f t="shared" si="14"/>
        <v>1</v>
      </c>
      <c r="BM193" s="26">
        <f t="shared" si="15"/>
        <v>1</v>
      </c>
      <c r="BN193">
        <f t="shared" si="16"/>
        <v>999</v>
      </c>
      <c r="BO193">
        <f t="shared" si="17"/>
        <v>999</v>
      </c>
    </row>
    <row r="194" spans="1:67" x14ac:dyDescent="0.25">
      <c r="A194" s="57"/>
      <c r="B194" s="63"/>
      <c r="C194" s="56"/>
      <c r="BI194" s="3">
        <f t="shared" si="18"/>
        <v>16.000000000000043</v>
      </c>
      <c r="BJ194" s="1">
        <f t="shared" si="19"/>
        <v>144496.46799821977</v>
      </c>
      <c r="BK194" s="1">
        <f t="shared" si="20"/>
        <v>139511.80791366971</v>
      </c>
      <c r="BL194" s="26">
        <f t="shared" ref="BL194:BL257" si="21">IF(BI194&gt;$G$12,0,1)</f>
        <v>1</v>
      </c>
      <c r="BM194" s="26">
        <f t="shared" ref="BM194:BM257" si="22">IF(AND(BL194&gt;0,BK194&gt;0),1,0)</f>
        <v>1</v>
      </c>
      <c r="BN194">
        <f t="shared" ref="BN194:BN257" si="23">IF(BK194&lt;0,BI194,999)</f>
        <v>999</v>
      </c>
      <c r="BO194">
        <f t="shared" ref="BO194:BO257" si="24">IF(BJ194&lt;0,BI194,999)</f>
        <v>999</v>
      </c>
    </row>
    <row r="195" spans="1:67" x14ac:dyDescent="0.25">
      <c r="A195" s="57"/>
      <c r="B195" s="63"/>
      <c r="C195" s="56"/>
      <c r="BI195" s="3">
        <f t="shared" ref="BI195:BI258" si="25">BI194+1/12</f>
        <v>16.083333333333375</v>
      </c>
      <c r="BJ195" s="1">
        <f t="shared" ref="BJ195:BJ258" si="26">BJ194*(1+$C$4/12) - $C$3</f>
        <v>144045.77122671512</v>
      </c>
      <c r="BK195" s="1">
        <f t="shared" si="20"/>
        <v>139028.02640944309</v>
      </c>
      <c r="BL195" s="26">
        <f t="shared" si="21"/>
        <v>1</v>
      </c>
      <c r="BM195" s="26">
        <f t="shared" si="22"/>
        <v>1</v>
      </c>
      <c r="BN195">
        <f t="shared" si="23"/>
        <v>999</v>
      </c>
      <c r="BO195">
        <f t="shared" si="24"/>
        <v>999</v>
      </c>
    </row>
    <row r="196" spans="1:67" x14ac:dyDescent="0.25">
      <c r="A196" s="57"/>
      <c r="B196" s="63"/>
      <c r="C196" s="56"/>
      <c r="BI196" s="3">
        <f t="shared" si="25"/>
        <v>16.166666666666707</v>
      </c>
      <c r="BJ196" s="1">
        <f t="shared" si="26"/>
        <v>143593.89137618526</v>
      </c>
      <c r="BK196" s="1">
        <f t="shared" ref="BK196:BK259" si="27">BK195*(1+$D$4/12)-$C$3-($D$3-$C$3)*BL196</f>
        <v>138542.97497876789</v>
      </c>
      <c r="BL196" s="26">
        <f t="shared" si="21"/>
        <v>1</v>
      </c>
      <c r="BM196" s="26">
        <f t="shared" si="22"/>
        <v>1</v>
      </c>
      <c r="BN196">
        <f t="shared" si="23"/>
        <v>999</v>
      </c>
      <c r="BO196">
        <f t="shared" si="24"/>
        <v>999</v>
      </c>
    </row>
    <row r="197" spans="1:67" x14ac:dyDescent="0.25">
      <c r="A197" s="57"/>
      <c r="B197" s="63"/>
      <c r="C197" s="56"/>
      <c r="BI197" s="3">
        <f t="shared" si="25"/>
        <v>16.250000000000039</v>
      </c>
      <c r="BJ197" s="1">
        <f t="shared" si="26"/>
        <v>143140.82534104775</v>
      </c>
      <c r="BK197" s="1">
        <f t="shared" si="27"/>
        <v>138056.65028808717</v>
      </c>
      <c r="BL197" s="26">
        <f t="shared" si="21"/>
        <v>1</v>
      </c>
      <c r="BM197" s="26">
        <f t="shared" si="22"/>
        <v>1</v>
      </c>
      <c r="BN197">
        <f t="shared" si="23"/>
        <v>999</v>
      </c>
      <c r="BO197">
        <f t="shared" si="24"/>
        <v>999</v>
      </c>
    </row>
    <row r="198" spans="1:67" x14ac:dyDescent="0.25">
      <c r="A198" s="57"/>
      <c r="B198" s="63"/>
      <c r="C198" s="56"/>
      <c r="BI198" s="3">
        <f t="shared" si="25"/>
        <v>16.333333333333371</v>
      </c>
      <c r="BJ198" s="1">
        <f t="shared" si="26"/>
        <v>142686.57000756802</v>
      </c>
      <c r="BK198" s="1">
        <f t="shared" si="27"/>
        <v>137569.04899509341</v>
      </c>
      <c r="BL198" s="26">
        <f t="shared" si="21"/>
        <v>1</v>
      </c>
      <c r="BM198" s="26">
        <f t="shared" si="22"/>
        <v>1</v>
      </c>
      <c r="BN198">
        <f t="shared" si="23"/>
        <v>999</v>
      </c>
      <c r="BO198">
        <f t="shared" si="24"/>
        <v>999</v>
      </c>
    </row>
    <row r="199" spans="1:67" x14ac:dyDescent="0.25">
      <c r="A199" s="57"/>
      <c r="B199" s="63"/>
      <c r="C199" s="56"/>
      <c r="BI199" s="3">
        <f t="shared" si="25"/>
        <v>16.416666666666703</v>
      </c>
      <c r="BJ199" s="1">
        <f t="shared" si="26"/>
        <v>142231.12225383791</v>
      </c>
      <c r="BK199" s="1">
        <f t="shared" si="27"/>
        <v>137080.16774870554</v>
      </c>
      <c r="BL199" s="26">
        <f t="shared" si="21"/>
        <v>1</v>
      </c>
      <c r="BM199" s="26">
        <f t="shared" si="22"/>
        <v>1</v>
      </c>
      <c r="BN199">
        <f t="shared" si="23"/>
        <v>999</v>
      </c>
      <c r="BO199">
        <f t="shared" si="24"/>
        <v>999</v>
      </c>
    </row>
    <row r="200" spans="1:67" x14ac:dyDescent="0.25">
      <c r="A200" s="57"/>
      <c r="B200" s="63"/>
      <c r="C200" s="56"/>
      <c r="BI200" s="3">
        <f t="shared" si="25"/>
        <v>16.500000000000036</v>
      </c>
      <c r="BJ200" s="1">
        <f t="shared" si="26"/>
        <v>141774.47894975424</v>
      </c>
      <c r="BK200" s="1">
        <f t="shared" si="27"/>
        <v>136590.00318904591</v>
      </c>
      <c r="BL200" s="26">
        <f t="shared" si="21"/>
        <v>1</v>
      </c>
      <c r="BM200" s="26">
        <f t="shared" si="22"/>
        <v>1</v>
      </c>
      <c r="BN200">
        <f t="shared" si="23"/>
        <v>999</v>
      </c>
      <c r="BO200">
        <f t="shared" si="24"/>
        <v>999</v>
      </c>
    </row>
    <row r="201" spans="1:67" x14ac:dyDescent="0.25">
      <c r="A201" s="57"/>
      <c r="B201" s="63"/>
      <c r="C201" s="56"/>
      <c r="BI201" s="3">
        <f t="shared" si="25"/>
        <v>16.583333333333368</v>
      </c>
      <c r="BJ201" s="1">
        <f t="shared" si="26"/>
        <v>141316.63695699736</v>
      </c>
      <c r="BK201" s="1">
        <f t="shared" si="27"/>
        <v>136098.55194741717</v>
      </c>
      <c r="BL201" s="26">
        <f t="shared" si="21"/>
        <v>1</v>
      </c>
      <c r="BM201" s="26">
        <f t="shared" si="22"/>
        <v>1</v>
      </c>
      <c r="BN201">
        <f t="shared" si="23"/>
        <v>999</v>
      </c>
      <c r="BO201">
        <f t="shared" si="24"/>
        <v>999</v>
      </c>
    </row>
    <row r="202" spans="1:67" x14ac:dyDescent="0.25">
      <c r="A202" s="57"/>
      <c r="B202" s="63"/>
      <c r="C202" s="56"/>
      <c r="BI202" s="3">
        <f t="shared" si="25"/>
        <v>16.6666666666667</v>
      </c>
      <c r="BJ202" s="1">
        <f t="shared" si="26"/>
        <v>140857.5931290095</v>
      </c>
      <c r="BK202" s="1">
        <f t="shared" si="27"/>
        <v>135605.81064627916</v>
      </c>
      <c r="BL202" s="26">
        <f t="shared" si="21"/>
        <v>1</v>
      </c>
      <c r="BM202" s="26">
        <f t="shared" si="22"/>
        <v>1</v>
      </c>
      <c r="BN202">
        <f t="shared" si="23"/>
        <v>999</v>
      </c>
      <c r="BO202">
        <f t="shared" si="24"/>
        <v>999</v>
      </c>
    </row>
    <row r="203" spans="1:67" x14ac:dyDescent="0.25">
      <c r="A203" s="57"/>
      <c r="B203" s="63"/>
      <c r="C203" s="56"/>
      <c r="BI203" s="3">
        <f t="shared" si="25"/>
        <v>16.750000000000032</v>
      </c>
      <c r="BJ203" s="1">
        <f t="shared" si="26"/>
        <v>140397.34431097316</v>
      </c>
      <c r="BK203" s="1">
        <f t="shared" si="27"/>
        <v>135111.77589922567</v>
      </c>
      <c r="BL203" s="26">
        <f t="shared" si="21"/>
        <v>1</v>
      </c>
      <c r="BM203" s="26">
        <f t="shared" si="22"/>
        <v>1</v>
      </c>
      <c r="BN203">
        <f t="shared" si="23"/>
        <v>999</v>
      </c>
      <c r="BO203">
        <f t="shared" si="24"/>
        <v>999</v>
      </c>
    </row>
    <row r="204" spans="1:67" x14ac:dyDescent="0.25">
      <c r="A204" s="57"/>
      <c r="B204" s="63"/>
      <c r="C204" s="56"/>
      <c r="BI204" s="3">
        <f t="shared" si="25"/>
        <v>16.833333333333364</v>
      </c>
      <c r="BJ204" s="1">
        <f t="shared" si="26"/>
        <v>139935.88733978948</v>
      </c>
      <c r="BK204" s="1">
        <f t="shared" si="27"/>
        <v>134616.44431096115</v>
      </c>
      <c r="BL204" s="26">
        <f t="shared" si="21"/>
        <v>1</v>
      </c>
      <c r="BM204" s="26">
        <f t="shared" si="22"/>
        <v>1</v>
      </c>
      <c r="BN204">
        <f t="shared" si="23"/>
        <v>999</v>
      </c>
      <c r="BO204">
        <f t="shared" si="24"/>
        <v>999</v>
      </c>
    </row>
    <row r="205" spans="1:67" x14ac:dyDescent="0.25">
      <c r="A205" s="57"/>
      <c r="B205" s="63"/>
      <c r="C205" s="56"/>
      <c r="BI205" s="3">
        <f t="shared" si="25"/>
        <v>16.916666666666696</v>
      </c>
      <c r="BJ205" s="1">
        <f t="shared" si="26"/>
        <v>139473.21904405643</v>
      </c>
      <c r="BK205" s="1">
        <f t="shared" si="27"/>
        <v>134119.81247727745</v>
      </c>
      <c r="BL205" s="26">
        <f t="shared" si="21"/>
        <v>1</v>
      </c>
      <c r="BM205" s="26">
        <f t="shared" si="22"/>
        <v>1</v>
      </c>
      <c r="BN205">
        <f t="shared" si="23"/>
        <v>999</v>
      </c>
      <c r="BO205">
        <f t="shared" si="24"/>
        <v>999</v>
      </c>
    </row>
    <row r="206" spans="1:67" x14ac:dyDescent="0.25">
      <c r="A206" s="57"/>
      <c r="B206" s="63"/>
      <c r="C206" s="56"/>
      <c r="BI206" s="3">
        <f t="shared" si="25"/>
        <v>17.000000000000028</v>
      </c>
      <c r="BJ206" s="1">
        <f t="shared" si="26"/>
        <v>139009.3362440471</v>
      </c>
      <c r="BK206" s="1">
        <f t="shared" si="27"/>
        <v>133621.87698503031</v>
      </c>
      <c r="BL206" s="26">
        <f t="shared" si="21"/>
        <v>1</v>
      </c>
      <c r="BM206" s="26">
        <f t="shared" si="22"/>
        <v>1</v>
      </c>
      <c r="BN206">
        <f t="shared" si="23"/>
        <v>999</v>
      </c>
      <c r="BO206">
        <f t="shared" si="24"/>
        <v>999</v>
      </c>
    </row>
    <row r="207" spans="1:67" x14ac:dyDescent="0.25">
      <c r="A207" s="57"/>
      <c r="B207" s="63"/>
      <c r="C207" s="56"/>
      <c r="BI207" s="3">
        <f t="shared" si="25"/>
        <v>17.083333333333361</v>
      </c>
      <c r="BJ207" s="1">
        <f t="shared" si="26"/>
        <v>138544.23575168772</v>
      </c>
      <c r="BK207" s="1">
        <f t="shared" si="27"/>
        <v>133122.63441211602</v>
      </c>
      <c r="BL207" s="26">
        <f t="shared" si="21"/>
        <v>1</v>
      </c>
      <c r="BM207" s="26">
        <f t="shared" si="22"/>
        <v>1</v>
      </c>
      <c r="BN207">
        <f t="shared" si="23"/>
        <v>999</v>
      </c>
      <c r="BO207">
        <f t="shared" si="24"/>
        <v>999</v>
      </c>
    </row>
    <row r="208" spans="1:67" x14ac:dyDescent="0.25">
      <c r="A208" s="57"/>
      <c r="B208" s="63"/>
      <c r="C208" s="56"/>
      <c r="BI208" s="3">
        <f t="shared" si="25"/>
        <v>17.166666666666693</v>
      </c>
      <c r="BJ208" s="1">
        <f t="shared" si="26"/>
        <v>138077.91437053593</v>
      </c>
      <c r="BK208" s="1">
        <f t="shared" si="27"/>
        <v>132622.08132744784</v>
      </c>
      <c r="BL208" s="26">
        <f t="shared" si="21"/>
        <v>1</v>
      </c>
      <c r="BM208" s="26">
        <f t="shared" si="22"/>
        <v>1</v>
      </c>
      <c r="BN208">
        <f t="shared" si="23"/>
        <v>999</v>
      </c>
      <c r="BO208">
        <f t="shared" si="24"/>
        <v>999</v>
      </c>
    </row>
    <row r="209" spans="1:67" x14ac:dyDescent="0.25">
      <c r="A209" s="57"/>
      <c r="B209" s="63"/>
      <c r="C209" s="56"/>
      <c r="BI209" s="3">
        <f t="shared" si="25"/>
        <v>17.250000000000025</v>
      </c>
      <c r="BJ209" s="1">
        <f t="shared" si="26"/>
        <v>137610.36889575861</v>
      </c>
      <c r="BK209" s="1">
        <f t="shared" si="27"/>
        <v>132120.2142909324</v>
      </c>
      <c r="BL209" s="26">
        <f t="shared" si="21"/>
        <v>1</v>
      </c>
      <c r="BM209" s="26">
        <f t="shared" si="22"/>
        <v>1</v>
      </c>
      <c r="BN209">
        <f t="shared" si="23"/>
        <v>999</v>
      </c>
      <c r="BO209">
        <f t="shared" si="24"/>
        <v>999</v>
      </c>
    </row>
    <row r="210" spans="1:67" x14ac:dyDescent="0.25">
      <c r="A210" s="57"/>
      <c r="B210" s="63"/>
      <c r="C210" s="56"/>
      <c r="BI210" s="3">
        <f t="shared" si="25"/>
        <v>17.333333333333357</v>
      </c>
      <c r="BJ210" s="1">
        <f t="shared" si="26"/>
        <v>137141.59611411</v>
      </c>
      <c r="BK210" s="1">
        <f t="shared" si="27"/>
        <v>131617.02985344612</v>
      </c>
      <c r="BL210" s="26">
        <f t="shared" si="21"/>
        <v>1</v>
      </c>
      <c r="BM210" s="26">
        <f t="shared" si="22"/>
        <v>1</v>
      </c>
      <c r="BN210">
        <f t="shared" si="23"/>
        <v>999</v>
      </c>
      <c r="BO210">
        <f t="shared" si="24"/>
        <v>999</v>
      </c>
    </row>
    <row r="211" spans="1:67" x14ac:dyDescent="0.25">
      <c r="A211" s="57"/>
      <c r="B211" s="63"/>
      <c r="C211" s="56"/>
      <c r="BI211" s="3">
        <f t="shared" si="25"/>
        <v>17.416666666666689</v>
      </c>
      <c r="BJ211" s="1">
        <f t="shared" si="26"/>
        <v>136671.59280390956</v>
      </c>
      <c r="BK211" s="1">
        <f t="shared" si="27"/>
        <v>131112.52455681143</v>
      </c>
      <c r="BL211" s="26">
        <f t="shared" si="21"/>
        <v>1</v>
      </c>
      <c r="BM211" s="26">
        <f t="shared" si="22"/>
        <v>1</v>
      </c>
      <c r="BN211">
        <f t="shared" si="23"/>
        <v>999</v>
      </c>
      <c r="BO211">
        <f t="shared" si="24"/>
        <v>999</v>
      </c>
    </row>
    <row r="212" spans="1:67" x14ac:dyDescent="0.25">
      <c r="A212" s="57"/>
      <c r="B212" s="63"/>
      <c r="C212" s="56"/>
      <c r="BI212" s="3">
        <f t="shared" si="25"/>
        <v>17.500000000000021</v>
      </c>
      <c r="BJ212" s="1">
        <f t="shared" si="26"/>
        <v>136200.35573501984</v>
      </c>
      <c r="BK212" s="1">
        <f t="shared" si="27"/>
        <v>130606.69493377308</v>
      </c>
      <c r="BL212" s="26">
        <f t="shared" si="21"/>
        <v>1</v>
      </c>
      <c r="BM212" s="26">
        <f t="shared" si="22"/>
        <v>1</v>
      </c>
      <c r="BN212">
        <f t="shared" si="23"/>
        <v>999</v>
      </c>
      <c r="BO212">
        <f t="shared" si="24"/>
        <v>999</v>
      </c>
    </row>
    <row r="213" spans="1:67" x14ac:dyDescent="0.25">
      <c r="A213" s="57"/>
      <c r="B213" s="63"/>
      <c r="C213" s="56"/>
      <c r="BI213" s="3">
        <f t="shared" si="25"/>
        <v>17.583333333333353</v>
      </c>
      <c r="BJ213" s="1">
        <f t="shared" si="26"/>
        <v>135727.88166882427</v>
      </c>
      <c r="BK213" s="1">
        <f t="shared" si="27"/>
        <v>130099.53750797424</v>
      </c>
      <c r="BL213" s="26">
        <f t="shared" si="21"/>
        <v>1</v>
      </c>
      <c r="BM213" s="26">
        <f t="shared" si="22"/>
        <v>1</v>
      </c>
      <c r="BN213">
        <f t="shared" si="23"/>
        <v>999</v>
      </c>
      <c r="BO213">
        <f t="shared" si="24"/>
        <v>999</v>
      </c>
    </row>
    <row r="214" spans="1:67" x14ac:dyDescent="0.25">
      <c r="A214" s="57"/>
      <c r="B214" s="63"/>
      <c r="C214" s="56"/>
      <c r="BI214" s="3">
        <f t="shared" si="25"/>
        <v>17.666666666666686</v>
      </c>
      <c r="BJ214" s="1">
        <f t="shared" si="26"/>
        <v>135254.16735820496</v>
      </c>
      <c r="BK214" s="1">
        <f t="shared" si="27"/>
        <v>129591.04879393268</v>
      </c>
      <c r="BL214" s="26">
        <f t="shared" si="21"/>
        <v>1</v>
      </c>
      <c r="BM214" s="26">
        <f t="shared" si="22"/>
        <v>1</v>
      </c>
      <c r="BN214">
        <f t="shared" si="23"/>
        <v>999</v>
      </c>
      <c r="BO214">
        <f t="shared" si="24"/>
        <v>999</v>
      </c>
    </row>
    <row r="215" spans="1:67" x14ac:dyDescent="0.25">
      <c r="A215" s="57"/>
      <c r="B215" s="63"/>
      <c r="C215" s="56"/>
      <c r="BI215" s="3">
        <f t="shared" si="25"/>
        <v>17.750000000000018</v>
      </c>
      <c r="BJ215" s="1">
        <f t="shared" si="26"/>
        <v>134779.20954752027</v>
      </c>
      <c r="BK215" s="1">
        <f t="shared" si="27"/>
        <v>129081.22529701678</v>
      </c>
      <c r="BL215" s="26">
        <f t="shared" si="21"/>
        <v>1</v>
      </c>
      <c r="BM215" s="26">
        <f t="shared" si="22"/>
        <v>1</v>
      </c>
      <c r="BN215">
        <f t="shared" si="23"/>
        <v>999</v>
      </c>
      <c r="BO215">
        <f t="shared" si="24"/>
        <v>999</v>
      </c>
    </row>
    <row r="216" spans="1:67" x14ac:dyDescent="0.25">
      <c r="A216" s="57"/>
      <c r="B216" s="63"/>
      <c r="C216" s="56"/>
      <c r="BI216" s="3">
        <f t="shared" si="25"/>
        <v>17.83333333333335</v>
      </c>
      <c r="BJ216" s="1">
        <f t="shared" si="26"/>
        <v>134303.00497258251</v>
      </c>
      <c r="BK216" s="1">
        <f t="shared" si="27"/>
        <v>128570.06351342145</v>
      </c>
      <c r="BL216" s="26">
        <f t="shared" si="21"/>
        <v>1</v>
      </c>
      <c r="BM216" s="26">
        <f t="shared" si="22"/>
        <v>1</v>
      </c>
      <c r="BN216">
        <f t="shared" si="23"/>
        <v>999</v>
      </c>
      <c r="BO216">
        <f t="shared" si="24"/>
        <v>999</v>
      </c>
    </row>
    <row r="217" spans="1:67" x14ac:dyDescent="0.25">
      <c r="A217" s="57"/>
      <c r="B217" s="63"/>
      <c r="C217" s="56"/>
      <c r="BI217" s="3">
        <f t="shared" si="25"/>
        <v>17.916666666666682</v>
      </c>
      <c r="BJ217" s="1">
        <f t="shared" si="26"/>
        <v>133825.55036063556</v>
      </c>
      <c r="BK217" s="1">
        <f t="shared" si="27"/>
        <v>128057.5599301442</v>
      </c>
      <c r="BL217" s="26">
        <f t="shared" si="21"/>
        <v>1</v>
      </c>
      <c r="BM217" s="26">
        <f t="shared" si="22"/>
        <v>1</v>
      </c>
      <c r="BN217">
        <f t="shared" si="23"/>
        <v>999</v>
      </c>
      <c r="BO217">
        <f t="shared" si="24"/>
        <v>999</v>
      </c>
    </row>
    <row r="218" spans="1:67" x14ac:dyDescent="0.25">
      <c r="A218" s="57"/>
      <c r="B218" s="63"/>
      <c r="C218" s="56"/>
      <c r="BI218" s="3">
        <f t="shared" si="25"/>
        <v>18.000000000000014</v>
      </c>
      <c r="BJ218" s="1">
        <f t="shared" si="26"/>
        <v>133346.84243033224</v>
      </c>
      <c r="BK218" s="1">
        <f t="shared" si="27"/>
        <v>127543.71102496084</v>
      </c>
      <c r="BL218" s="26">
        <f t="shared" si="21"/>
        <v>1</v>
      </c>
      <c r="BM218" s="26">
        <f t="shared" si="22"/>
        <v>1</v>
      </c>
      <c r="BN218">
        <f t="shared" si="23"/>
        <v>999</v>
      </c>
      <c r="BO218">
        <f t="shared" si="24"/>
        <v>999</v>
      </c>
    </row>
    <row r="219" spans="1:67" x14ac:dyDescent="0.25">
      <c r="A219" s="57"/>
      <c r="B219" s="63"/>
      <c r="C219" s="56"/>
      <c r="BI219" s="3">
        <f t="shared" si="25"/>
        <v>18.083333333333346</v>
      </c>
      <c r="BJ219" s="1">
        <f t="shared" si="26"/>
        <v>132866.87789171186</v>
      </c>
      <c r="BK219" s="1">
        <f t="shared" si="27"/>
        <v>127028.51326640137</v>
      </c>
      <c r="BL219" s="26">
        <f t="shared" si="21"/>
        <v>1</v>
      </c>
      <c r="BM219" s="26">
        <f t="shared" si="22"/>
        <v>1</v>
      </c>
      <c r="BN219">
        <f t="shared" si="23"/>
        <v>999</v>
      </c>
      <c r="BO219">
        <f t="shared" si="24"/>
        <v>999</v>
      </c>
    </row>
    <row r="220" spans="1:67" x14ac:dyDescent="0.25">
      <c r="A220" s="57"/>
      <c r="B220" s="63"/>
      <c r="C220" s="56"/>
      <c r="BI220" s="3">
        <f t="shared" si="25"/>
        <v>18.166666666666679</v>
      </c>
      <c r="BJ220" s="1">
        <f t="shared" si="26"/>
        <v>132385.65344617763</v>
      </c>
      <c r="BK220" s="1">
        <f t="shared" si="27"/>
        <v>126511.96311372568</v>
      </c>
      <c r="BL220" s="26">
        <f t="shared" si="21"/>
        <v>1</v>
      </c>
      <c r="BM220" s="26">
        <f t="shared" si="22"/>
        <v>1</v>
      </c>
      <c r="BN220">
        <f t="shared" si="23"/>
        <v>999</v>
      </c>
      <c r="BO220">
        <f t="shared" si="24"/>
        <v>999</v>
      </c>
    </row>
    <row r="221" spans="1:67" x14ac:dyDescent="0.25">
      <c r="A221" s="57"/>
      <c r="B221" s="63"/>
      <c r="C221" s="56"/>
      <c r="BI221" s="3">
        <f t="shared" si="25"/>
        <v>18.250000000000011</v>
      </c>
      <c r="BJ221" s="1">
        <f t="shared" si="26"/>
        <v>131903.16578647387</v>
      </c>
      <c r="BK221" s="1">
        <f t="shared" si="27"/>
        <v>125994.05701689923</v>
      </c>
      <c r="BL221" s="26">
        <f t="shared" si="21"/>
        <v>1</v>
      </c>
      <c r="BM221" s="26">
        <f t="shared" si="22"/>
        <v>1</v>
      </c>
      <c r="BN221">
        <f t="shared" si="23"/>
        <v>999</v>
      </c>
      <c r="BO221">
        <f t="shared" si="24"/>
        <v>999</v>
      </c>
    </row>
    <row r="222" spans="1:67" x14ac:dyDescent="0.25">
      <c r="A222" s="57"/>
      <c r="B222" s="63"/>
      <c r="C222" s="56"/>
      <c r="BI222" s="3">
        <f t="shared" si="25"/>
        <v>18.333333333333343</v>
      </c>
      <c r="BJ222" s="1">
        <f t="shared" si="26"/>
        <v>131419.41159666338</v>
      </c>
      <c r="BK222" s="1">
        <f t="shared" si="27"/>
        <v>125474.79141656859</v>
      </c>
      <c r="BL222" s="26">
        <f t="shared" si="21"/>
        <v>1</v>
      </c>
      <c r="BM222" s="26">
        <f t="shared" si="22"/>
        <v>1</v>
      </c>
      <c r="BN222">
        <f t="shared" si="23"/>
        <v>999</v>
      </c>
      <c r="BO222">
        <f t="shared" si="24"/>
        <v>999</v>
      </c>
    </row>
    <row r="223" spans="1:67" x14ac:dyDescent="0.25">
      <c r="A223" s="57"/>
      <c r="B223" s="63"/>
      <c r="C223" s="56"/>
      <c r="BI223" s="3">
        <f t="shared" si="25"/>
        <v>18.416666666666675</v>
      </c>
      <c r="BJ223" s="1">
        <f t="shared" si="26"/>
        <v>130934.38755210463</v>
      </c>
      <c r="BK223" s="1">
        <f t="shared" si="27"/>
        <v>124954.16274403709</v>
      </c>
      <c r="BL223" s="26">
        <f t="shared" si="21"/>
        <v>1</v>
      </c>
      <c r="BM223" s="26">
        <f t="shared" si="22"/>
        <v>1</v>
      </c>
      <c r="BN223">
        <f t="shared" si="23"/>
        <v>999</v>
      </c>
      <c r="BO223">
        <f t="shared" si="24"/>
        <v>999</v>
      </c>
    </row>
    <row r="224" spans="1:67" x14ac:dyDescent="0.25">
      <c r="A224" s="57"/>
      <c r="B224" s="63"/>
      <c r="C224" s="56"/>
      <c r="BI224" s="3">
        <f t="shared" si="25"/>
        <v>18.500000000000007</v>
      </c>
      <c r="BJ224" s="1">
        <f t="shared" si="26"/>
        <v>130448.09031942891</v>
      </c>
      <c r="BK224" s="1">
        <f t="shared" si="27"/>
        <v>124432.1674212402</v>
      </c>
      <c r="BL224" s="26">
        <f t="shared" si="21"/>
        <v>1</v>
      </c>
      <c r="BM224" s="26">
        <f t="shared" si="22"/>
        <v>1</v>
      </c>
      <c r="BN224">
        <f t="shared" si="23"/>
        <v>999</v>
      </c>
      <c r="BO224">
        <f t="shared" si="24"/>
        <v>999</v>
      </c>
    </row>
    <row r="225" spans="1:67" x14ac:dyDescent="0.25">
      <c r="A225" s="57"/>
      <c r="B225" s="63"/>
      <c r="C225" s="56"/>
      <c r="BI225" s="3">
        <f t="shared" si="25"/>
        <v>18.583333333333339</v>
      </c>
      <c r="BJ225" s="1">
        <f t="shared" si="26"/>
        <v>129960.51655651742</v>
      </c>
      <c r="BK225" s="1">
        <f t="shared" si="27"/>
        <v>123908.80186072097</v>
      </c>
      <c r="BL225" s="26">
        <f t="shared" si="21"/>
        <v>1</v>
      </c>
      <c r="BM225" s="26">
        <f t="shared" si="22"/>
        <v>1</v>
      </c>
      <c r="BN225">
        <f t="shared" si="23"/>
        <v>999</v>
      </c>
      <c r="BO225">
        <f t="shared" si="24"/>
        <v>999</v>
      </c>
    </row>
    <row r="226" spans="1:67" x14ac:dyDescent="0.25">
      <c r="A226" s="57"/>
      <c r="B226" s="63"/>
      <c r="C226" s="56"/>
      <c r="BI226" s="3">
        <f t="shared" si="25"/>
        <v>18.666666666666671</v>
      </c>
      <c r="BJ226" s="1">
        <f t="shared" si="26"/>
        <v>129471.66291247829</v>
      </c>
      <c r="BK226" s="1">
        <f t="shared" si="27"/>
        <v>123384.06246560537</v>
      </c>
      <c r="BL226" s="26">
        <f t="shared" si="21"/>
        <v>1</v>
      </c>
      <c r="BM226" s="26">
        <f t="shared" si="22"/>
        <v>1</v>
      </c>
      <c r="BN226">
        <f t="shared" si="23"/>
        <v>999</v>
      </c>
      <c r="BO226">
        <f t="shared" si="24"/>
        <v>999</v>
      </c>
    </row>
    <row r="227" spans="1:67" x14ac:dyDescent="0.25">
      <c r="A227" s="57"/>
      <c r="B227" s="63"/>
      <c r="C227" s="56"/>
      <c r="BI227" s="3">
        <f t="shared" si="25"/>
        <v>18.750000000000004</v>
      </c>
      <c r="BJ227" s="1">
        <f t="shared" si="26"/>
        <v>128981.52602762356</v>
      </c>
      <c r="BK227" s="1">
        <f t="shared" si="27"/>
        <v>122857.94562957759</v>
      </c>
      <c r="BL227" s="26">
        <f t="shared" si="21"/>
        <v>1</v>
      </c>
      <c r="BM227" s="26">
        <f t="shared" si="22"/>
        <v>1</v>
      </c>
      <c r="BN227">
        <f t="shared" si="23"/>
        <v>999</v>
      </c>
      <c r="BO227">
        <f t="shared" si="24"/>
        <v>999</v>
      </c>
    </row>
    <row r="228" spans="1:67" x14ac:dyDescent="0.25">
      <c r="A228" s="57"/>
      <c r="B228" s="63"/>
      <c r="C228" s="56"/>
      <c r="BI228" s="3">
        <f t="shared" si="25"/>
        <v>18.833333333333336</v>
      </c>
      <c r="BJ228" s="1">
        <f t="shared" si="26"/>
        <v>128490.10253344609</v>
      </c>
      <c r="BK228" s="1">
        <f t="shared" si="27"/>
        <v>122330.44773685525</v>
      </c>
      <c r="BL228" s="26">
        <f t="shared" si="21"/>
        <v>1</v>
      </c>
      <c r="BM228" s="26">
        <f t="shared" si="22"/>
        <v>1</v>
      </c>
      <c r="BN228">
        <f t="shared" si="23"/>
        <v>999</v>
      </c>
      <c r="BO228">
        <f t="shared" si="24"/>
        <v>999</v>
      </c>
    </row>
    <row r="229" spans="1:67" x14ac:dyDescent="0.25">
      <c r="A229" s="57"/>
      <c r="B229" s="63"/>
      <c r="C229" s="56"/>
      <c r="BI229" s="3">
        <f t="shared" si="25"/>
        <v>18.916666666666668</v>
      </c>
      <c r="BJ229" s="1">
        <f t="shared" si="26"/>
        <v>127997.38905259639</v>
      </c>
      <c r="BK229" s="1">
        <f t="shared" si="27"/>
        <v>121801.56516216451</v>
      </c>
      <c r="BL229" s="26">
        <f t="shared" si="21"/>
        <v>1</v>
      </c>
      <c r="BM229" s="26">
        <f t="shared" si="22"/>
        <v>1</v>
      </c>
      <c r="BN229">
        <f t="shared" si="23"/>
        <v>999</v>
      </c>
      <c r="BO229">
        <f t="shared" si="24"/>
        <v>999</v>
      </c>
    </row>
    <row r="230" spans="1:67" x14ac:dyDescent="0.25">
      <c r="A230" s="57"/>
      <c r="B230" s="63"/>
      <c r="C230" s="56"/>
      <c r="BI230" s="3">
        <f t="shared" si="25"/>
        <v>19</v>
      </c>
      <c r="BJ230" s="1">
        <f t="shared" si="26"/>
        <v>127503.38219885947</v>
      </c>
      <c r="BK230" s="1">
        <f t="shared" si="27"/>
        <v>121271.2942707152</v>
      </c>
      <c r="BL230" s="26">
        <f t="shared" si="21"/>
        <v>1</v>
      </c>
      <c r="BM230" s="26">
        <f t="shared" si="22"/>
        <v>1</v>
      </c>
      <c r="BN230">
        <f t="shared" si="23"/>
        <v>999</v>
      </c>
      <c r="BO230">
        <f t="shared" si="24"/>
        <v>999</v>
      </c>
    </row>
    <row r="231" spans="1:67" x14ac:dyDescent="0.25">
      <c r="A231" s="57"/>
      <c r="B231" s="63"/>
      <c r="C231" s="56"/>
      <c r="BI231" s="3">
        <f t="shared" si="25"/>
        <v>19.083333333333332</v>
      </c>
      <c r="BJ231" s="1">
        <f t="shared" si="26"/>
        <v>127008.07857713148</v>
      </c>
      <c r="BK231" s="1">
        <f t="shared" si="27"/>
        <v>120739.63141817584</v>
      </c>
      <c r="BL231" s="26">
        <f t="shared" si="21"/>
        <v>1</v>
      </c>
      <c r="BM231" s="26">
        <f t="shared" si="22"/>
        <v>1</v>
      </c>
      <c r="BN231">
        <f t="shared" si="23"/>
        <v>999</v>
      </c>
      <c r="BO231">
        <f t="shared" si="24"/>
        <v>999</v>
      </c>
    </row>
    <row r="232" spans="1:67" x14ac:dyDescent="0.25">
      <c r="A232" s="57"/>
      <c r="B232" s="63"/>
      <c r="C232" s="56"/>
      <c r="BI232" s="3">
        <f t="shared" si="25"/>
        <v>19.166666666666664</v>
      </c>
      <c r="BJ232" s="1">
        <f t="shared" si="26"/>
        <v>126511.47478339646</v>
      </c>
      <c r="BK232" s="1">
        <f t="shared" si="27"/>
        <v>120206.57295064857</v>
      </c>
      <c r="BL232" s="26">
        <f t="shared" si="21"/>
        <v>1</v>
      </c>
      <c r="BM232" s="26">
        <f t="shared" si="22"/>
        <v>1</v>
      </c>
      <c r="BN232">
        <f t="shared" si="23"/>
        <v>999</v>
      </c>
      <c r="BO232">
        <f t="shared" si="24"/>
        <v>999</v>
      </c>
    </row>
    <row r="233" spans="1:67" x14ac:dyDescent="0.25">
      <c r="A233" s="57"/>
      <c r="B233" s="63"/>
      <c r="C233" s="56"/>
      <c r="BI233" s="3">
        <f t="shared" si="25"/>
        <v>19.249999999999996</v>
      </c>
      <c r="BJ233" s="1">
        <f t="shared" si="26"/>
        <v>126013.56740470289</v>
      </c>
      <c r="BK233" s="1">
        <f t="shared" si="27"/>
        <v>119672.11520464403</v>
      </c>
      <c r="BL233" s="26">
        <f t="shared" si="21"/>
        <v>1</v>
      </c>
      <c r="BM233" s="26">
        <f t="shared" si="22"/>
        <v>1</v>
      </c>
      <c r="BN233">
        <f t="shared" si="23"/>
        <v>999</v>
      </c>
      <c r="BO233">
        <f t="shared" si="24"/>
        <v>999</v>
      </c>
    </row>
    <row r="234" spans="1:67" x14ac:dyDescent="0.25">
      <c r="A234" s="57"/>
      <c r="B234" s="63"/>
      <c r="C234" s="56"/>
      <c r="BI234" s="3">
        <f t="shared" si="25"/>
        <v>19.333333333333329</v>
      </c>
      <c r="BJ234" s="1">
        <f t="shared" si="26"/>
        <v>125514.35301914024</v>
      </c>
      <c r="BK234" s="1">
        <f t="shared" si="27"/>
        <v>119136.25450705623</v>
      </c>
      <c r="BL234" s="26">
        <f t="shared" si="21"/>
        <v>1</v>
      </c>
      <c r="BM234" s="26">
        <f t="shared" si="22"/>
        <v>1</v>
      </c>
      <c r="BN234">
        <f t="shared" si="23"/>
        <v>999</v>
      </c>
      <c r="BO234">
        <f t="shared" si="24"/>
        <v>999</v>
      </c>
    </row>
    <row r="235" spans="1:67" x14ac:dyDescent="0.25">
      <c r="A235" s="57"/>
      <c r="B235" s="63"/>
      <c r="C235" s="56"/>
      <c r="BI235" s="3">
        <f t="shared" si="25"/>
        <v>19.416666666666661</v>
      </c>
      <c r="BJ235" s="1">
        <f t="shared" si="26"/>
        <v>125013.8281958155</v>
      </c>
      <c r="BK235" s="1">
        <f t="shared" si="27"/>
        <v>118598.98717513727</v>
      </c>
      <c r="BL235" s="26">
        <f t="shared" si="21"/>
        <v>1</v>
      </c>
      <c r="BM235" s="26">
        <f t="shared" si="22"/>
        <v>1</v>
      </c>
      <c r="BN235">
        <f t="shared" si="23"/>
        <v>999</v>
      </c>
      <c r="BO235">
        <f t="shared" si="24"/>
        <v>999</v>
      </c>
    </row>
    <row r="236" spans="1:67" x14ac:dyDescent="0.25">
      <c r="A236" s="57"/>
      <c r="B236" s="63"/>
      <c r="C236" s="56"/>
      <c r="BI236" s="3">
        <f t="shared" si="25"/>
        <v>19.499999999999993</v>
      </c>
      <c r="BJ236" s="1">
        <f t="shared" si="26"/>
        <v>124511.98949482953</v>
      </c>
      <c r="BK236" s="1">
        <f t="shared" si="27"/>
        <v>118060.30951647201</v>
      </c>
      <c r="BL236" s="26">
        <f t="shared" si="21"/>
        <v>1</v>
      </c>
      <c r="BM236" s="26">
        <f t="shared" si="22"/>
        <v>1</v>
      </c>
      <c r="BN236">
        <f t="shared" si="23"/>
        <v>999</v>
      </c>
      <c r="BO236">
        <f t="shared" si="24"/>
        <v>999</v>
      </c>
    </row>
    <row r="237" spans="1:67" x14ac:dyDescent="0.25">
      <c r="A237" s="57"/>
      <c r="B237" s="63"/>
      <c r="C237" s="56"/>
      <c r="BI237" s="3">
        <f t="shared" si="25"/>
        <v>19.583333333333325</v>
      </c>
      <c r="BJ237" s="1">
        <f t="shared" si="26"/>
        <v>124008.83346725347</v>
      </c>
      <c r="BK237" s="1">
        <f t="shared" si="27"/>
        <v>117520.21782895277</v>
      </c>
      <c r="BL237" s="26">
        <f t="shared" si="21"/>
        <v>1</v>
      </c>
      <c r="BM237" s="26">
        <f t="shared" si="22"/>
        <v>1</v>
      </c>
      <c r="BN237">
        <f t="shared" si="23"/>
        <v>999</v>
      </c>
      <c r="BO237">
        <f t="shared" si="24"/>
        <v>999</v>
      </c>
    </row>
    <row r="238" spans="1:67" x14ac:dyDescent="0.25">
      <c r="A238" s="57"/>
      <c r="B238" s="63"/>
      <c r="C238" s="56"/>
      <c r="BI238" s="3">
        <f t="shared" si="25"/>
        <v>19.666666666666657</v>
      </c>
      <c r="BJ238" s="1">
        <f t="shared" si="26"/>
        <v>123504.35665510502</v>
      </c>
      <c r="BK238" s="1">
        <f t="shared" si="27"/>
        <v>116978.70840075378</v>
      </c>
      <c r="BL238" s="26">
        <f t="shared" si="21"/>
        <v>1</v>
      </c>
      <c r="BM238" s="26">
        <f t="shared" si="22"/>
        <v>1</v>
      </c>
      <c r="BN238">
        <f t="shared" si="23"/>
        <v>999</v>
      </c>
      <c r="BO238">
        <f t="shared" si="24"/>
        <v>999</v>
      </c>
    </row>
    <row r="239" spans="1:67" x14ac:dyDescent="0.25">
      <c r="A239" s="57"/>
      <c r="B239" s="63"/>
      <c r="C239" s="56"/>
      <c r="BI239" s="3">
        <f t="shared" si="25"/>
        <v>19.749999999999989</v>
      </c>
      <c r="BJ239" s="1">
        <f t="shared" si="26"/>
        <v>122998.55559132468</v>
      </c>
      <c r="BK239" s="1">
        <f t="shared" si="27"/>
        <v>116435.77751030576</v>
      </c>
      <c r="BL239" s="26">
        <f t="shared" si="21"/>
        <v>1</v>
      </c>
      <c r="BM239" s="26">
        <f t="shared" si="22"/>
        <v>1</v>
      </c>
      <c r="BN239">
        <f t="shared" si="23"/>
        <v>999</v>
      </c>
      <c r="BO239">
        <f t="shared" si="24"/>
        <v>999</v>
      </c>
    </row>
    <row r="240" spans="1:67" x14ac:dyDescent="0.25">
      <c r="A240" s="57"/>
      <c r="B240" s="63"/>
      <c r="C240" s="56"/>
      <c r="BI240" s="3">
        <f t="shared" si="25"/>
        <v>19.833333333333321</v>
      </c>
      <c r="BJ240" s="1">
        <f>BJ239*(1+$C$4/12) - $C$3</f>
        <v>122491.42679975192</v>
      </c>
      <c r="BK240" s="1">
        <f t="shared" si="27"/>
        <v>115891.42142627033</v>
      </c>
      <c r="BL240" s="26">
        <f t="shared" si="21"/>
        <v>1</v>
      </c>
      <c r="BM240" s="26">
        <f t="shared" si="22"/>
        <v>1</v>
      </c>
      <c r="BN240">
        <f t="shared" si="23"/>
        <v>999</v>
      </c>
      <c r="BO240">
        <f t="shared" si="24"/>
        <v>999</v>
      </c>
    </row>
    <row r="241" spans="1:67" x14ac:dyDescent="0.25">
      <c r="A241" s="57"/>
      <c r="B241" s="63"/>
      <c r="C241" s="56"/>
      <c r="BI241" s="3">
        <f t="shared" si="25"/>
        <v>19.916666666666654</v>
      </c>
      <c r="BJ241" s="1">
        <f t="shared" si="26"/>
        <v>121982.96679510128</v>
      </c>
      <c r="BK241" s="1">
        <f t="shared" si="27"/>
        <v>115345.63640751431</v>
      </c>
      <c r="BL241" s="26">
        <f t="shared" si="21"/>
        <v>1</v>
      </c>
      <c r="BM241" s="26">
        <f t="shared" si="22"/>
        <v>1</v>
      </c>
      <c r="BN241">
        <f t="shared" si="23"/>
        <v>999</v>
      </c>
      <c r="BO241">
        <f t="shared" si="24"/>
        <v>999</v>
      </c>
    </row>
    <row r="242" spans="1:67" x14ac:dyDescent="0.25">
      <c r="A242" s="57"/>
      <c r="B242" s="63"/>
      <c r="C242" s="56"/>
      <c r="BI242" s="3">
        <f t="shared" si="25"/>
        <v>19.999999999999986</v>
      </c>
      <c r="BJ242" s="1">
        <f t="shared" si="26"/>
        <v>121473.17208293843</v>
      </c>
      <c r="BK242" s="1">
        <f t="shared" si="27"/>
        <v>114798.41870308404</v>
      </c>
      <c r="BL242" s="26">
        <f t="shared" si="21"/>
        <v>1</v>
      </c>
      <c r="BM242" s="26">
        <f t="shared" si="22"/>
        <v>1</v>
      </c>
      <c r="BN242">
        <f t="shared" si="23"/>
        <v>999</v>
      </c>
      <c r="BO242">
        <f t="shared" si="24"/>
        <v>999</v>
      </c>
    </row>
    <row r="243" spans="1:67" x14ac:dyDescent="0.25">
      <c r="A243" s="57"/>
      <c r="B243" s="63"/>
      <c r="C243" s="56"/>
      <c r="BI243" s="3">
        <f t="shared" si="25"/>
        <v>20.083333333333318</v>
      </c>
      <c r="BJ243" s="1">
        <f t="shared" si="26"/>
        <v>120962.03915965615</v>
      </c>
      <c r="BK243" s="1">
        <f t="shared" si="27"/>
        <v>114249.76455217965</v>
      </c>
      <c r="BL243" s="26">
        <f t="shared" si="21"/>
        <v>1</v>
      </c>
      <c r="BM243" s="26">
        <f t="shared" si="22"/>
        <v>1</v>
      </c>
      <c r="BN243">
        <f t="shared" si="23"/>
        <v>999</v>
      </c>
      <c r="BO243">
        <f t="shared" si="24"/>
        <v>999</v>
      </c>
    </row>
    <row r="244" spans="1:67" x14ac:dyDescent="0.25">
      <c r="A244" s="57"/>
      <c r="B244" s="63"/>
      <c r="C244" s="56"/>
      <c r="BI244" s="3">
        <f t="shared" si="25"/>
        <v>20.16666666666665</v>
      </c>
      <c r="BJ244" s="1">
        <f t="shared" si="26"/>
        <v>120449.56451245026</v>
      </c>
      <c r="BK244" s="1">
        <f t="shared" si="27"/>
        <v>113699.67018412914</v>
      </c>
      <c r="BL244" s="26">
        <f t="shared" si="21"/>
        <v>1</v>
      </c>
      <c r="BM244" s="26">
        <f t="shared" si="22"/>
        <v>1</v>
      </c>
      <c r="BN244">
        <f t="shared" si="23"/>
        <v>999</v>
      </c>
      <c r="BO244">
        <f t="shared" si="24"/>
        <v>999</v>
      </c>
    </row>
    <row r="245" spans="1:67" x14ac:dyDescent="0.25">
      <c r="A245" s="57"/>
      <c r="B245" s="63"/>
      <c r="C245" s="56"/>
      <c r="BI245" s="3">
        <f t="shared" si="25"/>
        <v>20.249999999999982</v>
      </c>
      <c r="BJ245" s="1">
        <f t="shared" si="26"/>
        <v>119935.74461929545</v>
      </c>
      <c r="BK245" s="1">
        <f t="shared" si="27"/>
        <v>113148.13181836248</v>
      </c>
      <c r="BL245" s="26">
        <f t="shared" si="21"/>
        <v>1</v>
      </c>
      <c r="BM245" s="26">
        <f t="shared" si="22"/>
        <v>1</v>
      </c>
      <c r="BN245">
        <f t="shared" si="23"/>
        <v>999</v>
      </c>
      <c r="BO245">
        <f t="shared" si="24"/>
        <v>999</v>
      </c>
    </row>
    <row r="246" spans="1:67" x14ac:dyDescent="0.25">
      <c r="A246" s="57"/>
      <c r="B246" s="63"/>
      <c r="C246" s="56"/>
      <c r="BI246" s="3">
        <f t="shared" si="25"/>
        <v>20.333333333333314</v>
      </c>
      <c r="BJ246" s="1">
        <f t="shared" si="26"/>
        <v>119420.57594892112</v>
      </c>
      <c r="BK246" s="1">
        <f t="shared" si="27"/>
        <v>112595.14566438569</v>
      </c>
      <c r="BL246" s="26">
        <f t="shared" si="21"/>
        <v>1</v>
      </c>
      <c r="BM246" s="26">
        <f t="shared" si="22"/>
        <v>1</v>
      </c>
      <c r="BN246">
        <f t="shared" si="23"/>
        <v>999</v>
      </c>
      <c r="BO246">
        <f t="shared" si="24"/>
        <v>999</v>
      </c>
    </row>
    <row r="247" spans="1:67" x14ac:dyDescent="0.25">
      <c r="A247" s="57"/>
      <c r="B247" s="63"/>
      <c r="C247" s="56"/>
      <c r="BI247" s="3">
        <f t="shared" si="25"/>
        <v>20.416666666666647</v>
      </c>
      <c r="BJ247" s="1">
        <f t="shared" si="26"/>
        <v>118904.05496078705</v>
      </c>
      <c r="BK247" s="1">
        <f t="shared" si="27"/>
        <v>112040.70792175471</v>
      </c>
      <c r="BL247" s="26">
        <f t="shared" si="21"/>
        <v>1</v>
      </c>
      <c r="BM247" s="26">
        <f t="shared" si="22"/>
        <v>1</v>
      </c>
      <c r="BN247">
        <f t="shared" si="23"/>
        <v>999</v>
      </c>
      <c r="BO247">
        <f t="shared" si="24"/>
        <v>999</v>
      </c>
    </row>
    <row r="248" spans="1:67" x14ac:dyDescent="0.25">
      <c r="A248" s="57"/>
      <c r="B248" s="63"/>
      <c r="C248" s="56"/>
      <c r="BI248" s="3">
        <f t="shared" si="25"/>
        <v>20.499999999999979</v>
      </c>
      <c r="BJ248" s="1">
        <f t="shared" si="26"/>
        <v>118386.17810505912</v>
      </c>
      <c r="BK248" s="1">
        <f t="shared" si="27"/>
        <v>111484.81478004933</v>
      </c>
      <c r="BL248" s="26">
        <f t="shared" si="21"/>
        <v>1</v>
      </c>
      <c r="BM248" s="26">
        <f t="shared" si="22"/>
        <v>1</v>
      </c>
      <c r="BN248">
        <f t="shared" si="23"/>
        <v>999</v>
      </c>
      <c r="BO248">
        <f t="shared" si="24"/>
        <v>999</v>
      </c>
    </row>
    <row r="249" spans="1:67" x14ac:dyDescent="0.25">
      <c r="A249" s="57"/>
      <c r="B249" s="63"/>
      <c r="C249" s="56"/>
      <c r="BI249" s="3">
        <f t="shared" si="25"/>
        <v>20.583333333333311</v>
      </c>
      <c r="BJ249" s="1">
        <f t="shared" si="26"/>
        <v>117866.94182258492</v>
      </c>
      <c r="BK249" s="1">
        <f t="shared" si="27"/>
        <v>110927.46241884698</v>
      </c>
      <c r="BL249" s="26">
        <f t="shared" si="21"/>
        <v>1</v>
      </c>
      <c r="BM249" s="26">
        <f t="shared" si="22"/>
        <v>1</v>
      </c>
      <c r="BN249">
        <f t="shared" si="23"/>
        <v>999</v>
      </c>
      <c r="BO249">
        <f t="shared" si="24"/>
        <v>999</v>
      </c>
    </row>
    <row r="250" spans="1:67" x14ac:dyDescent="0.25">
      <c r="A250" s="57"/>
      <c r="B250" s="63"/>
      <c r="C250" s="56"/>
      <c r="BI250" s="3">
        <f t="shared" si="25"/>
        <v>20.666666666666643</v>
      </c>
      <c r="BJ250" s="1">
        <f t="shared" si="26"/>
        <v>117346.34254486921</v>
      </c>
      <c r="BK250" s="1">
        <f t="shared" si="27"/>
        <v>110368.64700769646</v>
      </c>
      <c r="BL250" s="26">
        <f t="shared" si="21"/>
        <v>1</v>
      </c>
      <c r="BM250" s="26">
        <f t="shared" si="22"/>
        <v>1</v>
      </c>
      <c r="BN250">
        <f t="shared" si="23"/>
        <v>999</v>
      </c>
      <c r="BO250">
        <f t="shared" si="24"/>
        <v>999</v>
      </c>
    </row>
    <row r="251" spans="1:67" x14ac:dyDescent="0.25">
      <c r="A251" s="57"/>
      <c r="B251" s="63"/>
      <c r="C251" s="56"/>
      <c r="BI251" s="3">
        <f t="shared" si="25"/>
        <v>20.749999999999975</v>
      </c>
      <c r="BJ251" s="1">
        <f t="shared" si="26"/>
        <v>116824.37669404951</v>
      </c>
      <c r="BK251" s="1">
        <f t="shared" si="27"/>
        <v>109808.36470609167</v>
      </c>
      <c r="BL251" s="26">
        <f t="shared" si="21"/>
        <v>1</v>
      </c>
      <c r="BM251" s="26">
        <f t="shared" si="22"/>
        <v>1</v>
      </c>
      <c r="BN251">
        <f t="shared" si="23"/>
        <v>999</v>
      </c>
      <c r="BO251">
        <f t="shared" si="24"/>
        <v>999</v>
      </c>
    </row>
    <row r="252" spans="1:67" x14ac:dyDescent="0.25">
      <c r="A252" s="57"/>
      <c r="B252" s="63"/>
      <c r="C252" s="56"/>
      <c r="BI252" s="3">
        <f t="shared" si="25"/>
        <v>20.833333333333307</v>
      </c>
      <c r="BJ252" s="1">
        <f t="shared" si="26"/>
        <v>116301.0406828714</v>
      </c>
      <c r="BK252" s="1">
        <f t="shared" si="27"/>
        <v>109246.61166344518</v>
      </c>
      <c r="BL252" s="26">
        <f t="shared" si="21"/>
        <v>1</v>
      </c>
      <c r="BM252" s="26">
        <f t="shared" si="22"/>
        <v>1</v>
      </c>
      <c r="BN252">
        <f t="shared" si="23"/>
        <v>999</v>
      </c>
      <c r="BO252">
        <f t="shared" si="24"/>
        <v>999</v>
      </c>
    </row>
    <row r="253" spans="1:67" x14ac:dyDescent="0.25">
      <c r="A253" s="57"/>
      <c r="B253" s="63"/>
      <c r="C253" s="56"/>
      <c r="BI253" s="3">
        <f t="shared" si="25"/>
        <v>20.916666666666639</v>
      </c>
      <c r="BJ253" s="1">
        <f t="shared" si="26"/>
        <v>115776.33091466395</v>
      </c>
      <c r="BK253" s="1">
        <f t="shared" si="27"/>
        <v>108683.38401906173</v>
      </c>
      <c r="BL253" s="26">
        <f t="shared" si="21"/>
        <v>1</v>
      </c>
      <c r="BM253" s="26">
        <f t="shared" si="22"/>
        <v>1</v>
      </c>
      <c r="BN253">
        <f t="shared" si="23"/>
        <v>999</v>
      </c>
      <c r="BO253">
        <f t="shared" si="24"/>
        <v>999</v>
      </c>
    </row>
    <row r="254" spans="1:67" x14ac:dyDescent="0.25">
      <c r="A254" s="57"/>
      <c r="B254" s="63"/>
      <c r="C254" s="56"/>
      <c r="BI254" s="3">
        <f t="shared" si="25"/>
        <v>20.999999999999972</v>
      </c>
      <c r="BJ254" s="1">
        <f t="shared" si="26"/>
        <v>115250.24378331496</v>
      </c>
      <c r="BK254" s="1">
        <f t="shared" si="27"/>
        <v>108118.67790211178</v>
      </c>
      <c r="BL254" s="26">
        <f t="shared" si="21"/>
        <v>1</v>
      </c>
      <c r="BM254" s="26">
        <f t="shared" si="22"/>
        <v>1</v>
      </c>
      <c r="BN254">
        <f t="shared" si="23"/>
        <v>999</v>
      </c>
      <c r="BO254">
        <f t="shared" si="24"/>
        <v>999</v>
      </c>
    </row>
    <row r="255" spans="1:67" x14ac:dyDescent="0.25">
      <c r="A255" s="57"/>
      <c r="B255" s="63"/>
      <c r="C255" s="56"/>
      <c r="BI255" s="3">
        <f t="shared" si="25"/>
        <v>21.083333333333304</v>
      </c>
      <c r="BJ255" s="1">
        <f t="shared" si="26"/>
        <v>114722.77567324617</v>
      </c>
      <c r="BK255" s="1">
        <f t="shared" si="27"/>
        <v>107552.48943160484</v>
      </c>
      <c r="BL255" s="26">
        <f t="shared" si="21"/>
        <v>1</v>
      </c>
      <c r="BM255" s="26">
        <f t="shared" si="22"/>
        <v>1</v>
      </c>
      <c r="BN255">
        <f t="shared" si="23"/>
        <v>999</v>
      </c>
      <c r="BO255">
        <f t="shared" si="24"/>
        <v>999</v>
      </c>
    </row>
    <row r="256" spans="1:67" x14ac:dyDescent="0.25">
      <c r="A256" s="57"/>
      <c r="B256" s="63"/>
      <c r="C256" s="56"/>
      <c r="BI256" s="3">
        <f t="shared" si="25"/>
        <v>21.166666666666636</v>
      </c>
      <c r="BJ256" s="1">
        <f t="shared" si="26"/>
        <v>114193.92295938845</v>
      </c>
      <c r="BK256" s="1">
        <f t="shared" si="27"/>
        <v>106984.81471636282</v>
      </c>
      <c r="BL256" s="26">
        <f t="shared" si="21"/>
        <v>1</v>
      </c>
      <c r="BM256" s="26">
        <f t="shared" si="22"/>
        <v>1</v>
      </c>
      <c r="BN256">
        <f t="shared" si="23"/>
        <v>999</v>
      </c>
      <c r="BO256">
        <f t="shared" si="24"/>
        <v>999</v>
      </c>
    </row>
    <row r="257" spans="1:67" x14ac:dyDescent="0.25">
      <c r="A257" s="57"/>
      <c r="B257" s="63"/>
      <c r="C257" s="56"/>
      <c r="BI257" s="3">
        <f t="shared" si="25"/>
        <v>21.249999999999968</v>
      </c>
      <c r="BJ257" s="1">
        <f t="shared" si="26"/>
        <v>113663.68200715685</v>
      </c>
      <c r="BK257" s="1">
        <f t="shared" si="27"/>
        <v>106415.64985499327</v>
      </c>
      <c r="BL257" s="26">
        <f t="shared" si="21"/>
        <v>1</v>
      </c>
      <c r="BM257" s="26">
        <f t="shared" si="22"/>
        <v>1</v>
      </c>
      <c r="BN257">
        <f t="shared" si="23"/>
        <v>999</v>
      </c>
      <c r="BO257">
        <f t="shared" si="24"/>
        <v>999</v>
      </c>
    </row>
    <row r="258" spans="1:67" x14ac:dyDescent="0.25">
      <c r="A258" s="57"/>
      <c r="B258" s="63"/>
      <c r="C258" s="56"/>
      <c r="BI258" s="3">
        <f t="shared" si="25"/>
        <v>21.3333333333333</v>
      </c>
      <c r="BJ258" s="1">
        <f t="shared" si="26"/>
        <v>113132.04917242564</v>
      </c>
      <c r="BK258" s="1">
        <f t="shared" si="27"/>
        <v>105844.99093586265</v>
      </c>
      <c r="BL258" s="26">
        <f t="shared" ref="BL258:BL321" si="28">IF(BI258&gt;$G$12,0,1)</f>
        <v>1</v>
      </c>
      <c r="BM258" s="26">
        <f t="shared" ref="BM258:BM281" si="29">IF(AND(BL258&gt;0,BK258&gt;0),1,0)</f>
        <v>1</v>
      </c>
      <c r="BN258">
        <f t="shared" ref="BN258:BN321" si="30">IF(BK258&lt;0,BI258,999)</f>
        <v>999</v>
      </c>
      <c r="BO258">
        <f t="shared" ref="BO258:BO321" si="31">IF(BJ258&lt;0,BI258,999)</f>
        <v>999</v>
      </c>
    </row>
    <row r="259" spans="1:67" x14ac:dyDescent="0.25">
      <c r="A259" s="57"/>
      <c r="B259" s="63"/>
      <c r="C259" s="56"/>
      <c r="BI259" s="3">
        <f t="shared" ref="BI259:BI322" si="32">BI258+1/12</f>
        <v>21.416666666666632</v>
      </c>
      <c r="BJ259" s="1">
        <f t="shared" ref="BJ259:BJ322" si="33">BJ258*(1+$C$4/12) - $C$3</f>
        <v>112599.02080150327</v>
      </c>
      <c r="BK259" s="1">
        <f t="shared" si="27"/>
        <v>105272.83403706929</v>
      </c>
      <c r="BL259" s="26">
        <f t="shared" si="28"/>
        <v>1</v>
      </c>
      <c r="BM259" s="26">
        <f t="shared" si="29"/>
        <v>1</v>
      </c>
      <c r="BN259">
        <f t="shared" si="30"/>
        <v>999</v>
      </c>
      <c r="BO259">
        <f t="shared" si="31"/>
        <v>999</v>
      </c>
    </row>
    <row r="260" spans="1:67" x14ac:dyDescent="0.25">
      <c r="A260" s="57"/>
      <c r="B260" s="63"/>
      <c r="C260" s="56"/>
      <c r="BI260" s="3">
        <f t="shared" si="32"/>
        <v>21.499999999999964</v>
      </c>
      <c r="BJ260" s="1">
        <f t="shared" si="33"/>
        <v>112064.59323110722</v>
      </c>
      <c r="BK260" s="1">
        <f t="shared" ref="BK260:BK323" si="34">BK259*(1+$D$4/12)-$C$3-($D$3-$C$3)*BL260</f>
        <v>104699.17522641661</v>
      </c>
      <c r="BL260" s="26">
        <f t="shared" si="28"/>
        <v>1</v>
      </c>
      <c r="BM260" s="26">
        <f t="shared" si="29"/>
        <v>1</v>
      </c>
      <c r="BN260">
        <f t="shared" si="30"/>
        <v>999</v>
      </c>
      <c r="BO260">
        <f t="shared" si="31"/>
        <v>999</v>
      </c>
    </row>
    <row r="261" spans="1:67" x14ac:dyDescent="0.25">
      <c r="A261" s="57"/>
      <c r="B261" s="63"/>
      <c r="C261" s="56"/>
      <c r="BI261" s="3">
        <f t="shared" si="32"/>
        <v>21.583333333333297</v>
      </c>
      <c r="BJ261" s="1">
        <f t="shared" si="33"/>
        <v>111528.76278833889</v>
      </c>
      <c r="BK261" s="1">
        <f t="shared" si="34"/>
        <v>104124.01056138596</v>
      </c>
      <c r="BL261" s="26">
        <f t="shared" si="28"/>
        <v>1</v>
      </c>
      <c r="BM261" s="26">
        <f t="shared" si="29"/>
        <v>1</v>
      </c>
      <c r="BN261">
        <f t="shared" si="30"/>
        <v>999</v>
      </c>
      <c r="BO261">
        <f t="shared" si="31"/>
        <v>999</v>
      </c>
    </row>
    <row r="262" spans="1:67" x14ac:dyDescent="0.25">
      <c r="A262" s="57"/>
      <c r="B262" s="63"/>
      <c r="C262" s="56"/>
      <c r="BI262" s="3">
        <f t="shared" si="32"/>
        <v>21.666666666666629</v>
      </c>
      <c r="BJ262" s="1">
        <f t="shared" si="33"/>
        <v>110991.5257906583</v>
      </c>
      <c r="BK262" s="1">
        <f t="shared" si="34"/>
        <v>103547.33608910961</v>
      </c>
      <c r="BL262" s="26">
        <f t="shared" si="28"/>
        <v>1</v>
      </c>
      <c r="BM262" s="26">
        <f t="shared" si="29"/>
        <v>1</v>
      </c>
      <c r="BN262">
        <f t="shared" si="30"/>
        <v>999</v>
      </c>
      <c r="BO262">
        <f t="shared" si="31"/>
        <v>999</v>
      </c>
    </row>
    <row r="263" spans="1:67" x14ac:dyDescent="0.25">
      <c r="A263" s="57"/>
      <c r="B263" s="63"/>
      <c r="C263" s="56"/>
      <c r="BI263" s="3">
        <f t="shared" si="32"/>
        <v>21.749999999999961</v>
      </c>
      <c r="BJ263" s="1">
        <f t="shared" si="33"/>
        <v>110452.8785458588</v>
      </c>
      <c r="BK263" s="1">
        <f t="shared" si="34"/>
        <v>102969.14784634353</v>
      </c>
      <c r="BL263" s="26">
        <f t="shared" si="28"/>
        <v>1</v>
      </c>
      <c r="BM263" s="26">
        <f t="shared" si="29"/>
        <v>1</v>
      </c>
      <c r="BN263">
        <f t="shared" si="30"/>
        <v>999</v>
      </c>
      <c r="BO263">
        <f t="shared" si="31"/>
        <v>999</v>
      </c>
    </row>
    <row r="264" spans="1:67" x14ac:dyDescent="0.25">
      <c r="A264" s="57"/>
      <c r="B264" s="63"/>
      <c r="C264" s="56"/>
      <c r="BI264" s="3">
        <f t="shared" si="32"/>
        <v>21.833333333333293</v>
      </c>
      <c r="BJ264" s="1">
        <f t="shared" si="33"/>
        <v>109912.81735204169</v>
      </c>
      <c r="BK264" s="1">
        <f t="shared" si="34"/>
        <v>102389.44185944019</v>
      </c>
      <c r="BL264" s="26">
        <f t="shared" si="28"/>
        <v>1</v>
      </c>
      <c r="BM264" s="26">
        <f t="shared" si="29"/>
        <v>1</v>
      </c>
      <c r="BN264">
        <f t="shared" si="30"/>
        <v>999</v>
      </c>
      <c r="BO264">
        <f t="shared" si="31"/>
        <v>999</v>
      </c>
    </row>
    <row r="265" spans="1:67" x14ac:dyDescent="0.25">
      <c r="A265" s="57"/>
      <c r="B265" s="63"/>
      <c r="C265" s="56"/>
      <c r="BI265" s="3">
        <f t="shared" si="32"/>
        <v>21.916666666666625</v>
      </c>
      <c r="BJ265" s="1">
        <f t="shared" si="33"/>
        <v>109371.33849759081</v>
      </c>
      <c r="BK265" s="1">
        <f t="shared" si="34"/>
        <v>101808.21414432123</v>
      </c>
      <c r="BL265" s="26">
        <f t="shared" si="28"/>
        <v>1</v>
      </c>
      <c r="BM265" s="26">
        <f t="shared" si="29"/>
        <v>1</v>
      </c>
      <c r="BN265">
        <f t="shared" si="30"/>
        <v>999</v>
      </c>
      <c r="BO265">
        <f t="shared" si="31"/>
        <v>999</v>
      </c>
    </row>
    <row r="266" spans="1:67" x14ac:dyDescent="0.25">
      <c r="A266" s="57"/>
      <c r="B266" s="63"/>
      <c r="C266" s="56"/>
      <c r="BI266" s="3">
        <f t="shared" si="32"/>
        <v>21.999999999999957</v>
      </c>
      <c r="BJ266" s="1">
        <f t="shared" si="33"/>
        <v>108828.43826114699</v>
      </c>
      <c r="BK266" s="1">
        <f t="shared" si="34"/>
        <v>101225.46070645009</v>
      </c>
      <c r="BL266" s="26">
        <f t="shared" si="28"/>
        <v>1</v>
      </c>
      <c r="BM266" s="26">
        <f t="shared" si="29"/>
        <v>1</v>
      </c>
      <c r="BN266">
        <f t="shared" si="30"/>
        <v>999</v>
      </c>
      <c r="BO266">
        <f t="shared" si="31"/>
        <v>999</v>
      </c>
    </row>
    <row r="267" spans="1:67" x14ac:dyDescent="0.25">
      <c r="A267" s="57"/>
      <c r="B267" s="63"/>
      <c r="C267" s="56"/>
      <c r="BI267" s="3">
        <f t="shared" si="32"/>
        <v>22.08333333333329</v>
      </c>
      <c r="BJ267" s="1">
        <f t="shared" si="33"/>
        <v>108284.11291158252</v>
      </c>
      <c r="BK267" s="1">
        <f t="shared" si="34"/>
        <v>100641.17754080454</v>
      </c>
      <c r="BL267" s="26">
        <f t="shared" si="28"/>
        <v>1</v>
      </c>
      <c r="BM267" s="26">
        <f t="shared" si="29"/>
        <v>1</v>
      </c>
      <c r="BN267">
        <f t="shared" si="30"/>
        <v>999</v>
      </c>
      <c r="BO267">
        <f t="shared" si="31"/>
        <v>999</v>
      </c>
    </row>
    <row r="268" spans="1:67" x14ac:dyDescent="0.25">
      <c r="A268" s="57"/>
      <c r="B268" s="63"/>
      <c r="C268" s="56"/>
      <c r="BI268" s="3">
        <f t="shared" si="32"/>
        <v>22.166666666666622</v>
      </c>
      <c r="BJ268" s="1">
        <f t="shared" si="33"/>
        <v>107738.35870797544</v>
      </c>
      <c r="BK268" s="1">
        <f t="shared" si="34"/>
        <v>100055.36063184915</v>
      </c>
      <c r="BL268" s="26">
        <f t="shared" si="28"/>
        <v>1</v>
      </c>
      <c r="BM268" s="26">
        <f t="shared" si="29"/>
        <v>1</v>
      </c>
      <c r="BN268">
        <f t="shared" si="30"/>
        <v>999</v>
      </c>
      <c r="BO268">
        <f t="shared" si="31"/>
        <v>999</v>
      </c>
    </row>
    <row r="269" spans="1:67" x14ac:dyDescent="0.25">
      <c r="A269" s="57"/>
      <c r="B269" s="63"/>
      <c r="C269" s="56"/>
      <c r="BI269" s="3">
        <f t="shared" si="32"/>
        <v>22.249999999999954</v>
      </c>
      <c r="BJ269" s="1">
        <f t="shared" si="33"/>
        <v>107191.17189958389</v>
      </c>
      <c r="BK269" s="1">
        <f t="shared" si="34"/>
        <v>99468.00595350776</v>
      </c>
      <c r="BL269" s="26">
        <f t="shared" si="28"/>
        <v>1</v>
      </c>
      <c r="BM269" s="26">
        <f t="shared" si="29"/>
        <v>1</v>
      </c>
      <c r="BN269">
        <f t="shared" si="30"/>
        <v>999</v>
      </c>
      <c r="BO269">
        <f t="shared" si="31"/>
        <v>999</v>
      </c>
    </row>
    <row r="270" spans="1:67" x14ac:dyDescent="0.25">
      <c r="A270" s="57"/>
      <c r="B270" s="63"/>
      <c r="C270" s="56"/>
      <c r="BI270" s="3">
        <f t="shared" si="32"/>
        <v>22.333333333333286</v>
      </c>
      <c r="BJ270" s="1">
        <f t="shared" si="33"/>
        <v>106642.54872582031</v>
      </c>
      <c r="BK270" s="1">
        <f t="shared" si="34"/>
        <v>98879.109469135728</v>
      </c>
      <c r="BL270" s="26">
        <f t="shared" si="28"/>
        <v>1</v>
      </c>
      <c r="BM270" s="26">
        <f t="shared" si="29"/>
        <v>1</v>
      </c>
      <c r="BN270">
        <f t="shared" si="30"/>
        <v>999</v>
      </c>
      <c r="BO270">
        <f t="shared" si="31"/>
        <v>999</v>
      </c>
    </row>
    <row r="271" spans="1:67" x14ac:dyDescent="0.25">
      <c r="A271" s="57"/>
      <c r="B271" s="63"/>
      <c r="C271" s="56"/>
      <c r="BI271" s="3">
        <f t="shared" si="32"/>
        <v>22.416666666666618</v>
      </c>
      <c r="BJ271" s="1">
        <f t="shared" si="33"/>
        <v>106092.48541622559</v>
      </c>
      <c r="BK271" s="1">
        <f t="shared" si="34"/>
        <v>98288.667131492213</v>
      </c>
      <c r="BL271" s="26">
        <f t="shared" si="28"/>
        <v>1</v>
      </c>
      <c r="BM271" s="26">
        <f t="shared" si="29"/>
        <v>1</v>
      </c>
      <c r="BN271">
        <f t="shared" si="30"/>
        <v>999</v>
      </c>
      <c r="BO271">
        <f t="shared" si="31"/>
        <v>999</v>
      </c>
    </row>
    <row r="272" spans="1:67" x14ac:dyDescent="0.25">
      <c r="A272" s="57"/>
      <c r="B272" s="63"/>
      <c r="C272" s="56"/>
      <c r="BI272" s="3">
        <f t="shared" si="32"/>
        <v>22.49999999999995</v>
      </c>
      <c r="BJ272" s="1">
        <f t="shared" si="33"/>
        <v>105540.9781904432</v>
      </c>
      <c r="BK272" s="1">
        <f t="shared" si="34"/>
        <v>97696.674882712396</v>
      </c>
      <c r="BL272" s="26">
        <f t="shared" si="28"/>
        <v>1</v>
      </c>
      <c r="BM272" s="26">
        <f t="shared" si="29"/>
        <v>1</v>
      </c>
      <c r="BN272">
        <f t="shared" si="30"/>
        <v>999</v>
      </c>
      <c r="BO272">
        <f t="shared" si="31"/>
        <v>999</v>
      </c>
    </row>
    <row r="273" spans="1:67" x14ac:dyDescent="0.25">
      <c r="A273" s="57"/>
      <c r="B273" s="63"/>
      <c r="C273" s="56"/>
      <c r="BI273" s="3">
        <f t="shared" si="32"/>
        <v>22.583333333333282</v>
      </c>
      <c r="BJ273" s="1">
        <f t="shared" si="33"/>
        <v>104988.02325819312</v>
      </c>
      <c r="BK273" s="1">
        <f t="shared" si="34"/>
        <v>97103.128654279528</v>
      </c>
      <c r="BL273" s="26">
        <f t="shared" si="28"/>
        <v>1</v>
      </c>
      <c r="BM273" s="26">
        <f t="shared" si="29"/>
        <v>1</v>
      </c>
      <c r="BN273">
        <f t="shared" si="30"/>
        <v>999</v>
      </c>
      <c r="BO273">
        <f t="shared" si="31"/>
        <v>999</v>
      </c>
    </row>
    <row r="274" spans="1:67" x14ac:dyDescent="0.25">
      <c r="A274" s="57"/>
      <c r="B274" s="63"/>
      <c r="C274" s="56"/>
      <c r="BI274" s="3">
        <f t="shared" si="32"/>
        <v>22.666666666666615</v>
      </c>
      <c r="BJ274" s="1">
        <f t="shared" si="33"/>
        <v>104433.61681924589</v>
      </c>
      <c r="BK274" s="1">
        <f t="shared" si="34"/>
        <v>96508.024366997022</v>
      </c>
      <c r="BL274" s="26">
        <f t="shared" si="28"/>
        <v>1</v>
      </c>
      <c r="BM274" s="26">
        <f t="shared" si="29"/>
        <v>1</v>
      </c>
      <c r="BN274">
        <f t="shared" si="30"/>
        <v>999</v>
      </c>
      <c r="BO274">
        <f t="shared" si="31"/>
        <v>999</v>
      </c>
    </row>
    <row r="275" spans="1:67" x14ac:dyDescent="0.25">
      <c r="A275" s="57"/>
      <c r="B275" s="63"/>
      <c r="C275" s="56"/>
      <c r="BI275" s="3">
        <f t="shared" si="32"/>
        <v>22.749999999999947</v>
      </c>
      <c r="BJ275" s="1">
        <f t="shared" si="33"/>
        <v>103877.75506339641</v>
      </c>
      <c r="BK275" s="1">
        <f t="shared" si="34"/>
        <v>95911.357930960396</v>
      </c>
      <c r="BL275" s="26">
        <f t="shared" si="28"/>
        <v>1</v>
      </c>
      <c r="BM275" s="26">
        <f t="shared" si="29"/>
        <v>1</v>
      </c>
      <c r="BN275">
        <f t="shared" si="30"/>
        <v>999</v>
      </c>
      <c r="BO275">
        <f t="shared" si="31"/>
        <v>999</v>
      </c>
    </row>
    <row r="276" spans="1:67" x14ac:dyDescent="0.25">
      <c r="A276" s="57"/>
      <c r="B276" s="63"/>
      <c r="C276" s="56"/>
      <c r="BI276" s="3">
        <f t="shared" si="32"/>
        <v>22.833333333333279</v>
      </c>
      <c r="BJ276" s="1">
        <f t="shared" si="33"/>
        <v>103320.43417043785</v>
      </c>
      <c r="BK276" s="1">
        <f t="shared" si="34"/>
        <v>95313.125245529183</v>
      </c>
      <c r="BL276" s="26">
        <f t="shared" si="28"/>
        <v>1</v>
      </c>
      <c r="BM276" s="26">
        <f t="shared" si="29"/>
        <v>1</v>
      </c>
      <c r="BN276">
        <f t="shared" si="30"/>
        <v>999</v>
      </c>
      <c r="BO276">
        <f t="shared" si="31"/>
        <v>999</v>
      </c>
    </row>
    <row r="277" spans="1:67" x14ac:dyDescent="0.25">
      <c r="A277" s="57"/>
      <c r="B277" s="63"/>
      <c r="C277" s="56"/>
      <c r="BI277" s="3">
        <f t="shared" si="32"/>
        <v>22.916666666666611</v>
      </c>
      <c r="BJ277" s="1">
        <f t="shared" si="33"/>
        <v>102761.65031013526</v>
      </c>
      <c r="BK277" s="1">
        <f t="shared" si="34"/>
        <v>94713.322199298709</v>
      </c>
      <c r="BL277" s="26">
        <f t="shared" si="28"/>
        <v>1</v>
      </c>
      <c r="BM277" s="26">
        <f t="shared" si="29"/>
        <v>1</v>
      </c>
      <c r="BN277">
        <f t="shared" si="30"/>
        <v>999</v>
      </c>
      <c r="BO277">
        <f t="shared" si="31"/>
        <v>999</v>
      </c>
    </row>
    <row r="278" spans="1:67" x14ac:dyDescent="0.25">
      <c r="A278" s="57"/>
      <c r="B278" s="63"/>
      <c r="C278" s="56"/>
      <c r="BI278" s="3">
        <f t="shared" si="32"/>
        <v>22.999999999999943</v>
      </c>
      <c r="BJ278" s="1">
        <f t="shared" si="33"/>
        <v>102201.39964219938</v>
      </c>
      <c r="BK278" s="1">
        <f t="shared" si="34"/>
        <v>94111.944670071884</v>
      </c>
      <c r="BL278" s="26">
        <f t="shared" si="28"/>
        <v>1</v>
      </c>
      <c r="BM278" s="26">
        <f t="shared" si="29"/>
        <v>1</v>
      </c>
      <c r="BN278">
        <f t="shared" si="30"/>
        <v>999</v>
      </c>
      <c r="BO278">
        <f t="shared" si="31"/>
        <v>999</v>
      </c>
    </row>
    <row r="279" spans="1:67" x14ac:dyDescent="0.25">
      <c r="A279" s="57"/>
      <c r="B279" s="63"/>
      <c r="C279" s="56"/>
      <c r="BI279" s="3">
        <f t="shared" si="32"/>
        <v>23.083333333333275</v>
      </c>
      <c r="BJ279" s="1">
        <f t="shared" si="33"/>
        <v>101639.67831626016</v>
      </c>
      <c r="BK279" s="1">
        <f t="shared" si="34"/>
        <v>93508.988524830827</v>
      </c>
      <c r="BL279" s="26">
        <f t="shared" si="28"/>
        <v>1</v>
      </c>
      <c r="BM279" s="26">
        <f t="shared" si="29"/>
        <v>1</v>
      </c>
      <c r="BN279">
        <f t="shared" si="30"/>
        <v>999</v>
      </c>
      <c r="BO279">
        <f t="shared" si="31"/>
        <v>999</v>
      </c>
    </row>
    <row r="280" spans="1:67" x14ac:dyDescent="0.25">
      <c r="A280" s="57"/>
      <c r="B280" s="63"/>
      <c r="C280" s="56"/>
      <c r="BI280" s="3">
        <f t="shared" si="32"/>
        <v>23.166666666666607</v>
      </c>
      <c r="BJ280" s="1">
        <f t="shared" si="33"/>
        <v>101076.48247184035</v>
      </c>
      <c r="BK280" s="1">
        <f t="shared" si="34"/>
        <v>92904.449619708525</v>
      </c>
      <c r="BL280" s="26">
        <f t="shared" si="28"/>
        <v>1</v>
      </c>
      <c r="BM280" s="26">
        <f t="shared" si="29"/>
        <v>1</v>
      </c>
      <c r="BN280">
        <f t="shared" si="30"/>
        <v>999</v>
      </c>
      <c r="BO280">
        <f t="shared" si="31"/>
        <v>999</v>
      </c>
    </row>
    <row r="281" spans="1:67" x14ac:dyDescent="0.25">
      <c r="A281" s="57"/>
      <c r="B281" s="63"/>
      <c r="C281" s="56"/>
      <c r="BI281" s="3">
        <f t="shared" si="32"/>
        <v>23.24999999999994</v>
      </c>
      <c r="BJ281" s="1">
        <f t="shared" si="33"/>
        <v>100511.80823832894</v>
      </c>
      <c r="BK281" s="1">
        <f t="shared" si="34"/>
        <v>92298.323799960272</v>
      </c>
      <c r="BL281" s="26">
        <f t="shared" si="28"/>
        <v>1</v>
      </c>
      <c r="BM281" s="26">
        <f t="shared" si="29"/>
        <v>1</v>
      </c>
      <c r="BN281">
        <f t="shared" si="30"/>
        <v>999</v>
      </c>
      <c r="BO281">
        <f t="shared" si="31"/>
        <v>999</v>
      </c>
    </row>
    <row r="282" spans="1:67" x14ac:dyDescent="0.25">
      <c r="A282" s="57"/>
      <c r="B282" s="63"/>
      <c r="C282" s="56"/>
      <c r="BI282" s="3">
        <f t="shared" si="32"/>
        <v>23.333333333333272</v>
      </c>
      <c r="BJ282" s="1">
        <f t="shared" si="33"/>
        <v>99945.651734954561</v>
      </c>
      <c r="BK282" s="1">
        <f t="shared" si="34"/>
        <v>91690.60689993517</v>
      </c>
      <c r="BL282" s="26">
        <f t="shared" si="28"/>
        <v>1</v>
      </c>
      <c r="BM282" s="26">
        <f>IF(AND(BL282&gt;0,BK282&gt;0),1,0)</f>
        <v>1</v>
      </c>
      <c r="BN282">
        <f t="shared" si="30"/>
        <v>999</v>
      </c>
      <c r="BO282">
        <f t="shared" si="31"/>
        <v>999</v>
      </c>
    </row>
    <row r="283" spans="1:67" x14ac:dyDescent="0.25">
      <c r="A283" s="57"/>
      <c r="B283" s="63"/>
      <c r="C283" s="56"/>
      <c r="BI283" s="3">
        <f t="shared" si="32"/>
        <v>23.416666666666604</v>
      </c>
      <c r="BJ283" s="1">
        <f t="shared" si="33"/>
        <v>99378.009070758824</v>
      </c>
      <c r="BK283" s="1">
        <f t="shared" si="34"/>
        <v>91081.294743047503</v>
      </c>
      <c r="BL283" s="26">
        <f t="shared" si="28"/>
        <v>1</v>
      </c>
      <c r="BM283" s="26">
        <f t="shared" ref="BM283:BM346" si="35">IF(AND(BL283&gt;0,BK283&gt;0),1,0)</f>
        <v>1</v>
      </c>
      <c r="BN283">
        <f t="shared" si="30"/>
        <v>999</v>
      </c>
      <c r="BO283">
        <f t="shared" si="31"/>
        <v>999</v>
      </c>
    </row>
    <row r="284" spans="1:67" x14ac:dyDescent="0.25">
      <c r="A284" s="57"/>
      <c r="B284" s="63"/>
      <c r="C284" s="56"/>
      <c r="BI284" s="3">
        <f t="shared" si="32"/>
        <v>23.499999999999936</v>
      </c>
      <c r="BJ284" s="1">
        <f t="shared" si="33"/>
        <v>98808.87634456958</v>
      </c>
      <c r="BK284" s="1">
        <f t="shared" si="34"/>
        <v>90470.383141748011</v>
      </c>
      <c r="BL284" s="26">
        <f t="shared" si="28"/>
        <v>1</v>
      </c>
      <c r="BM284" s="26">
        <f t="shared" si="35"/>
        <v>1</v>
      </c>
      <c r="BN284">
        <f t="shared" si="30"/>
        <v>999</v>
      </c>
      <c r="BO284">
        <f t="shared" si="31"/>
        <v>999</v>
      </c>
    </row>
    <row r="285" spans="1:67" x14ac:dyDescent="0.25">
      <c r="A285" s="57"/>
      <c r="B285" s="63"/>
      <c r="C285" s="56"/>
      <c r="BI285" s="3">
        <f t="shared" si="32"/>
        <v>23.583333333333268</v>
      </c>
      <c r="BJ285" s="1">
        <f t="shared" si="33"/>
        <v>98238.249644974087</v>
      </c>
      <c r="BK285" s="1">
        <f t="shared" si="34"/>
        <v>89857.867897495104</v>
      </c>
      <c r="BL285" s="26">
        <f t="shared" si="28"/>
        <v>1</v>
      </c>
      <c r="BM285" s="26">
        <f t="shared" si="35"/>
        <v>1</v>
      </c>
      <c r="BN285">
        <f t="shared" si="30"/>
        <v>999</v>
      </c>
      <c r="BO285">
        <f t="shared" si="31"/>
        <v>999</v>
      </c>
    </row>
    <row r="286" spans="1:67" x14ac:dyDescent="0.25">
      <c r="A286" s="57"/>
      <c r="B286" s="63"/>
      <c r="C286" s="56"/>
      <c r="BI286" s="3">
        <f t="shared" si="32"/>
        <v>23.6666666666666</v>
      </c>
      <c r="BJ286" s="1">
        <f t="shared" si="33"/>
        <v>97666.125050292147</v>
      </c>
      <c r="BK286" s="1">
        <f t="shared" si="34"/>
        <v>89243.744800726039</v>
      </c>
      <c r="BL286" s="26">
        <f t="shared" si="28"/>
        <v>1</v>
      </c>
      <c r="BM286" s="26">
        <f t="shared" si="35"/>
        <v>1</v>
      </c>
      <c r="BN286">
        <f t="shared" si="30"/>
        <v>999</v>
      </c>
      <c r="BO286">
        <f t="shared" si="31"/>
        <v>999</v>
      </c>
    </row>
    <row r="287" spans="1:67" x14ac:dyDescent="0.25">
      <c r="A287" s="57"/>
      <c r="B287" s="63"/>
      <c r="C287" s="56"/>
      <c r="BI287" s="3">
        <f t="shared" si="32"/>
        <v>23.749999999999932</v>
      </c>
      <c r="BJ287" s="1">
        <f t="shared" si="33"/>
        <v>97092.498628549176</v>
      </c>
      <c r="BK287" s="1">
        <f t="shared" si="34"/>
        <v>88628.009630827961</v>
      </c>
      <c r="BL287" s="26">
        <f t="shared" si="28"/>
        <v>1</v>
      </c>
      <c r="BM287" s="26">
        <f t="shared" si="35"/>
        <v>1</v>
      </c>
      <c r="BN287">
        <f t="shared" si="30"/>
        <v>999</v>
      </c>
      <c r="BO287">
        <f t="shared" si="31"/>
        <v>999</v>
      </c>
    </row>
    <row r="288" spans="1:67" x14ac:dyDescent="0.25">
      <c r="A288" s="57"/>
      <c r="B288" s="63"/>
      <c r="C288" s="56"/>
      <c r="BI288" s="3">
        <f t="shared" si="32"/>
        <v>23.833333333333265</v>
      </c>
      <c r="BJ288" s="1">
        <f t="shared" si="33"/>
        <v>96517.36643744912</v>
      </c>
      <c r="BK288" s="1">
        <f t="shared" si="34"/>
        <v>88010.658156108897</v>
      </c>
      <c r="BL288" s="26">
        <f t="shared" si="28"/>
        <v>1</v>
      </c>
      <c r="BM288" s="26">
        <f t="shared" si="35"/>
        <v>1</v>
      </c>
      <c r="BN288">
        <f t="shared" si="30"/>
        <v>999</v>
      </c>
      <c r="BO288">
        <f t="shared" si="31"/>
        <v>999</v>
      </c>
    </row>
    <row r="289" spans="1:67" x14ac:dyDescent="0.25">
      <c r="A289" s="57"/>
      <c r="B289" s="63"/>
      <c r="C289" s="56"/>
      <c r="BI289" s="3">
        <f t="shared" si="32"/>
        <v>23.916666666666597</v>
      </c>
      <c r="BJ289" s="1">
        <f t="shared" si="33"/>
        <v>95940.724524347432</v>
      </c>
      <c r="BK289" s="1">
        <f t="shared" si="34"/>
        <v>87391.686133768686</v>
      </c>
      <c r="BL289" s="26">
        <f t="shared" si="28"/>
        <v>1</v>
      </c>
      <c r="BM289" s="26">
        <f t="shared" si="35"/>
        <v>1</v>
      </c>
      <c r="BN289">
        <f t="shared" si="30"/>
        <v>999</v>
      </c>
      <c r="BO289">
        <f t="shared" si="31"/>
        <v>999</v>
      </c>
    </row>
    <row r="290" spans="1:67" x14ac:dyDescent="0.25">
      <c r="A290" s="57"/>
      <c r="B290" s="63"/>
      <c r="C290" s="56"/>
      <c r="BI290" s="3">
        <f t="shared" si="32"/>
        <v>23.999999999999929</v>
      </c>
      <c r="BJ290" s="1">
        <f t="shared" si="33"/>
        <v>95362.568926223859</v>
      </c>
      <c r="BK290" s="1">
        <f t="shared" si="34"/>
        <v>86771.089309869843</v>
      </c>
      <c r="BL290" s="26">
        <f t="shared" si="28"/>
        <v>1</v>
      </c>
      <c r="BM290" s="26">
        <f t="shared" si="35"/>
        <v>1</v>
      </c>
      <c r="BN290">
        <f t="shared" si="30"/>
        <v>999</v>
      </c>
      <c r="BO290">
        <f t="shared" si="31"/>
        <v>999</v>
      </c>
    </row>
    <row r="291" spans="1:67" x14ac:dyDescent="0.25">
      <c r="A291" s="57"/>
      <c r="B291" s="63"/>
      <c r="C291" s="56"/>
      <c r="BI291" s="3">
        <f t="shared" si="32"/>
        <v>24.083333333333261</v>
      </c>
      <c r="BJ291" s="1">
        <f t="shared" si="33"/>
        <v>94782.895669655205</v>
      </c>
      <c r="BK291" s="1">
        <f t="shared" si="34"/>
        <v>86148.863419308254</v>
      </c>
      <c r="BL291" s="26">
        <f t="shared" si="28"/>
        <v>1</v>
      </c>
      <c r="BM291" s="26">
        <f t="shared" si="35"/>
        <v>1</v>
      </c>
      <c r="BN291">
        <f t="shared" si="30"/>
        <v>999</v>
      </c>
      <c r="BO291">
        <f t="shared" si="31"/>
        <v>999</v>
      </c>
    </row>
    <row r="292" spans="1:67" x14ac:dyDescent="0.25">
      <c r="A292" s="57"/>
      <c r="B292" s="63"/>
      <c r="C292" s="56"/>
      <c r="BI292" s="3">
        <f t="shared" si="32"/>
        <v>24.166666666666593</v>
      </c>
      <c r="BJ292" s="1">
        <f t="shared" si="33"/>
        <v>94201.700770788055</v>
      </c>
      <c r="BK292" s="1">
        <f t="shared" si="34"/>
        <v>85525.004185783953</v>
      </c>
      <c r="BL292" s="26">
        <f t="shared" si="28"/>
        <v>1</v>
      </c>
      <c r="BM292" s="26">
        <f t="shared" si="35"/>
        <v>1</v>
      </c>
      <c r="BN292">
        <f t="shared" si="30"/>
        <v>999</v>
      </c>
      <c r="BO292">
        <f t="shared" si="31"/>
        <v>999</v>
      </c>
    </row>
    <row r="293" spans="1:67" x14ac:dyDescent="0.25">
      <c r="A293" s="57"/>
      <c r="B293" s="63"/>
      <c r="C293" s="56"/>
      <c r="BI293" s="3">
        <f t="shared" si="32"/>
        <v>24.249999999999925</v>
      </c>
      <c r="BJ293" s="1">
        <f t="shared" si="33"/>
        <v>93618.980235311377</v>
      </c>
      <c r="BK293" s="1">
        <f t="shared" si="34"/>
        <v>84899.507321771642</v>
      </c>
      <c r="BL293" s="26">
        <f t="shared" si="28"/>
        <v>1</v>
      </c>
      <c r="BM293" s="26">
        <f t="shared" si="35"/>
        <v>1</v>
      </c>
      <c r="BN293">
        <f t="shared" si="30"/>
        <v>999</v>
      </c>
      <c r="BO293">
        <f t="shared" si="31"/>
        <v>999</v>
      </c>
    </row>
    <row r="294" spans="1:67" x14ac:dyDescent="0.25">
      <c r="A294" s="57"/>
      <c r="B294" s="63"/>
      <c r="C294" s="56"/>
      <c r="BI294" s="3">
        <f t="shared" si="32"/>
        <v>24.333333333333258</v>
      </c>
      <c r="BJ294" s="1">
        <f t="shared" si="33"/>
        <v>93034.730058429079</v>
      </c>
      <c r="BK294" s="1">
        <f t="shared" si="34"/>
        <v>84272.368528491294</v>
      </c>
      <c r="BL294" s="26">
        <f t="shared" si="28"/>
        <v>1</v>
      </c>
      <c r="BM294" s="26">
        <f t="shared" si="35"/>
        <v>1</v>
      </c>
      <c r="BN294">
        <f t="shared" si="30"/>
        <v>999</v>
      </c>
      <c r="BO294">
        <f t="shared" si="31"/>
        <v>999</v>
      </c>
    </row>
    <row r="295" spans="1:67" x14ac:dyDescent="0.25">
      <c r="A295" s="57"/>
      <c r="B295" s="63"/>
      <c r="C295" s="56"/>
      <c r="BI295" s="3">
        <f t="shared" si="32"/>
        <v>24.41666666666659</v>
      </c>
      <c r="BJ295" s="1">
        <f t="shared" si="33"/>
        <v>92448.946224832471</v>
      </c>
      <c r="BK295" s="1">
        <f t="shared" si="34"/>
        <v>83643.583495878585</v>
      </c>
      <c r="BL295" s="26">
        <f t="shared" si="28"/>
        <v>1</v>
      </c>
      <c r="BM295" s="26">
        <f t="shared" si="35"/>
        <v>1</v>
      </c>
      <c r="BN295">
        <f t="shared" si="30"/>
        <v>999</v>
      </c>
      <c r="BO295">
        <f t="shared" si="31"/>
        <v>999</v>
      </c>
    </row>
    <row r="296" spans="1:67" x14ac:dyDescent="0.25">
      <c r="A296" s="57"/>
      <c r="B296" s="63"/>
      <c r="C296" s="56"/>
      <c r="BI296" s="3">
        <f t="shared" si="32"/>
        <v>24.499999999999922</v>
      </c>
      <c r="BJ296" s="1">
        <f t="shared" si="33"/>
        <v>91861.624708672665</v>
      </c>
      <c r="BK296" s="1">
        <f t="shared" si="34"/>
        <v>83013.147902555269</v>
      </c>
      <c r="BL296" s="26">
        <f t="shared" si="28"/>
        <v>1</v>
      </c>
      <c r="BM296" s="26">
        <f t="shared" si="35"/>
        <v>1</v>
      </c>
      <c r="BN296">
        <f t="shared" si="30"/>
        <v>999</v>
      </c>
      <c r="BO296">
        <f t="shared" si="31"/>
        <v>999</v>
      </c>
    </row>
    <row r="297" spans="1:67" x14ac:dyDescent="0.25">
      <c r="A297" s="57"/>
      <c r="B297" s="63"/>
      <c r="C297" s="56"/>
      <c r="BI297" s="3">
        <f t="shared" si="32"/>
        <v>24.583333333333254</v>
      </c>
      <c r="BJ297" s="1">
        <f t="shared" si="33"/>
        <v>91272.761473532941</v>
      </c>
      <c r="BK297" s="1">
        <f t="shared" si="34"/>
        <v>82381.057415799485</v>
      </c>
      <c r="BL297" s="26">
        <f t="shared" si="28"/>
        <v>1</v>
      </c>
      <c r="BM297" s="26">
        <f t="shared" si="35"/>
        <v>1</v>
      </c>
      <c r="BN297">
        <f t="shared" si="30"/>
        <v>999</v>
      </c>
      <c r="BO297">
        <f t="shared" si="31"/>
        <v>999</v>
      </c>
    </row>
    <row r="298" spans="1:67" x14ac:dyDescent="0.25">
      <c r="A298" s="57"/>
      <c r="B298" s="63"/>
      <c r="C298" s="56"/>
      <c r="BI298" s="3">
        <f t="shared" si="32"/>
        <v>24.666666666666586</v>
      </c>
      <c r="BJ298" s="1">
        <f t="shared" si="33"/>
        <v>90682.352472400977</v>
      </c>
      <c r="BK298" s="1">
        <f t="shared" si="34"/>
        <v>81747.307691515962</v>
      </c>
      <c r="BL298" s="26">
        <f t="shared" si="28"/>
        <v>1</v>
      </c>
      <c r="BM298" s="26">
        <f t="shared" si="35"/>
        <v>1</v>
      </c>
      <c r="BN298">
        <f t="shared" si="30"/>
        <v>999</v>
      </c>
      <c r="BO298">
        <f t="shared" si="31"/>
        <v>999</v>
      </c>
    </row>
    <row r="299" spans="1:67" x14ac:dyDescent="0.25">
      <c r="A299" s="57"/>
      <c r="B299" s="63"/>
      <c r="BI299" s="3">
        <f t="shared" si="32"/>
        <v>24.749999999999918</v>
      </c>
      <c r="BJ299" s="1">
        <f t="shared" si="33"/>
        <v>90090.393647641045</v>
      </c>
      <c r="BK299" s="1">
        <f t="shared" si="34"/>
        <v>81111.894374206197</v>
      </c>
      <c r="BL299" s="26">
        <f t="shared" si="28"/>
        <v>1</v>
      </c>
      <c r="BM299" s="26">
        <f t="shared" si="35"/>
        <v>1</v>
      </c>
      <c r="BN299">
        <f t="shared" si="30"/>
        <v>999</v>
      </c>
      <c r="BO299">
        <f t="shared" si="31"/>
        <v>999</v>
      </c>
    </row>
    <row r="300" spans="1:67" x14ac:dyDescent="0.25">
      <c r="BI300" s="3">
        <f t="shared" si="32"/>
        <v>24.83333333333325</v>
      </c>
      <c r="BJ300" s="1">
        <f t="shared" si="33"/>
        <v>89496.880930966116</v>
      </c>
      <c r="BK300" s="1">
        <f t="shared" si="34"/>
        <v>80474.813096938495</v>
      </c>
      <c r="BL300" s="26">
        <f t="shared" si="28"/>
        <v>1</v>
      </c>
      <c r="BM300" s="26">
        <f t="shared" si="35"/>
        <v>1</v>
      </c>
      <c r="BN300">
        <f t="shared" si="30"/>
        <v>999</v>
      </c>
      <c r="BO300">
        <f t="shared" si="31"/>
        <v>999</v>
      </c>
    </row>
    <row r="301" spans="1:67" x14ac:dyDescent="0.25">
      <c r="BI301" s="3">
        <f t="shared" si="32"/>
        <v>24.916666666666583</v>
      </c>
      <c r="BJ301" s="1">
        <f t="shared" si="33"/>
        <v>88901.810243409913</v>
      </c>
      <c r="BK301" s="1">
        <f t="shared" si="34"/>
        <v>79836.059481317963</v>
      </c>
      <c r="BL301" s="26">
        <f t="shared" si="28"/>
        <v>1</v>
      </c>
      <c r="BM301" s="26">
        <f t="shared" si="35"/>
        <v>1</v>
      </c>
      <c r="BN301">
        <f t="shared" si="30"/>
        <v>999</v>
      </c>
      <c r="BO301">
        <f t="shared" si="31"/>
        <v>999</v>
      </c>
    </row>
    <row r="302" spans="1:67" x14ac:dyDescent="0.25">
      <c r="BI302" s="3">
        <f t="shared" si="32"/>
        <v>24.999999999999915</v>
      </c>
      <c r="BJ302" s="1">
        <f t="shared" si="33"/>
        <v>88305.177495298878</v>
      </c>
      <c r="BK302" s="1">
        <f t="shared" si="34"/>
        <v>79195.629137456432</v>
      </c>
      <c r="BL302" s="26">
        <f t="shared" si="28"/>
        <v>1</v>
      </c>
      <c r="BM302" s="26">
        <f t="shared" si="35"/>
        <v>1</v>
      </c>
      <c r="BN302">
        <f t="shared" si="30"/>
        <v>999</v>
      </c>
      <c r="BO302">
        <f t="shared" si="31"/>
        <v>999</v>
      </c>
    </row>
    <row r="303" spans="1:67" x14ac:dyDescent="0.25">
      <c r="BI303" s="3">
        <f t="shared" si="32"/>
        <v>25.083333333333247</v>
      </c>
      <c r="BJ303" s="1">
        <f t="shared" si="33"/>
        <v>87706.978586224053</v>
      </c>
      <c r="BK303" s="1">
        <f t="shared" si="34"/>
        <v>78553.517663942257</v>
      </c>
      <c r="BL303" s="26">
        <f t="shared" si="28"/>
        <v>1</v>
      </c>
      <c r="BM303" s="26">
        <f t="shared" si="35"/>
        <v>1</v>
      </c>
      <c r="BN303">
        <f t="shared" si="30"/>
        <v>999</v>
      </c>
      <c r="BO303">
        <f t="shared" si="31"/>
        <v>999</v>
      </c>
    </row>
    <row r="304" spans="1:67" x14ac:dyDescent="0.25">
      <c r="BI304" s="3">
        <f t="shared" si="32"/>
        <v>25.166666666666579</v>
      </c>
      <c r="BJ304" s="1">
        <f t="shared" si="33"/>
        <v>87107.209405012894</v>
      </c>
      <c r="BK304" s="1">
        <f t="shared" si="34"/>
        <v>77909.720647810114</v>
      </c>
      <c r="BL304" s="26">
        <f t="shared" si="28"/>
        <v>1</v>
      </c>
      <c r="BM304" s="26">
        <f t="shared" si="35"/>
        <v>1</v>
      </c>
      <c r="BN304">
        <f t="shared" si="30"/>
        <v>999</v>
      </c>
      <c r="BO304">
        <f t="shared" si="31"/>
        <v>999</v>
      </c>
    </row>
    <row r="305" spans="61:67" x14ac:dyDescent="0.25">
      <c r="BI305" s="3">
        <f t="shared" si="32"/>
        <v>25.249999999999911</v>
      </c>
      <c r="BJ305" s="1">
        <f t="shared" si="33"/>
        <v>86505.865829701055</v>
      </c>
      <c r="BK305" s="1">
        <f t="shared" si="34"/>
        <v>77264.233664510626</v>
      </c>
      <c r="BL305" s="26">
        <f t="shared" si="28"/>
        <v>1</v>
      </c>
      <c r="BM305" s="26">
        <f t="shared" si="35"/>
        <v>1</v>
      </c>
      <c r="BN305">
        <f t="shared" si="30"/>
        <v>999</v>
      </c>
      <c r="BO305">
        <f t="shared" si="31"/>
        <v>999</v>
      </c>
    </row>
    <row r="306" spans="61:67" x14ac:dyDescent="0.25">
      <c r="BI306" s="3">
        <f t="shared" si="32"/>
        <v>25.333333333333243</v>
      </c>
      <c r="BJ306" s="1">
        <f t="shared" si="33"/>
        <v>85902.943727504025</v>
      </c>
      <c r="BK306" s="1">
        <f t="shared" si="34"/>
        <v>76617.052277879979</v>
      </c>
      <c r="BL306" s="26">
        <f t="shared" si="28"/>
        <v>1</v>
      </c>
      <c r="BM306" s="26">
        <f t="shared" si="35"/>
        <v>1</v>
      </c>
      <c r="BN306">
        <f t="shared" si="30"/>
        <v>999</v>
      </c>
      <c r="BO306">
        <f t="shared" si="31"/>
        <v>999</v>
      </c>
    </row>
    <row r="307" spans="61:67" x14ac:dyDescent="0.25">
      <c r="BI307" s="3">
        <f t="shared" si="32"/>
        <v>25.416666666666575</v>
      </c>
      <c r="BJ307" s="1">
        <f t="shared" si="33"/>
        <v>85298.438954788726</v>
      </c>
      <c r="BK307" s="1">
        <f t="shared" si="34"/>
        <v>75968.172040109421</v>
      </c>
      <c r="BL307" s="26">
        <f t="shared" si="28"/>
        <v>1</v>
      </c>
      <c r="BM307" s="26">
        <f t="shared" si="35"/>
        <v>1</v>
      </c>
      <c r="BN307">
        <f t="shared" si="30"/>
        <v>999</v>
      </c>
      <c r="BO307">
        <f t="shared" si="31"/>
        <v>999</v>
      </c>
    </row>
    <row r="308" spans="61:67" x14ac:dyDescent="0.25">
      <c r="BI308" s="3">
        <f t="shared" si="32"/>
        <v>25.499999999999908</v>
      </c>
      <c r="BJ308" s="1">
        <f t="shared" si="33"/>
        <v>84692.347357045059</v>
      </c>
      <c r="BK308" s="1">
        <f t="shared" si="34"/>
        <v>75317.58849171472</v>
      </c>
      <c r="BL308" s="26">
        <f t="shared" si="28"/>
        <v>1</v>
      </c>
      <c r="BM308" s="26">
        <f t="shared" si="35"/>
        <v>1</v>
      </c>
      <c r="BN308">
        <f t="shared" si="30"/>
        <v>999</v>
      </c>
      <c r="BO308">
        <f t="shared" si="31"/>
        <v>999</v>
      </c>
    </row>
    <row r="309" spans="61:67" x14ac:dyDescent="0.25">
      <c r="BI309" s="3">
        <f t="shared" si="32"/>
        <v>25.58333333333324</v>
      </c>
      <c r="BJ309" s="1">
        <f t="shared" si="33"/>
        <v>84084.664768857314</v>
      </c>
      <c r="BK309" s="1">
        <f t="shared" si="34"/>
        <v>74665.297161505485</v>
      </c>
      <c r="BL309" s="26">
        <f t="shared" si="28"/>
        <v>1</v>
      </c>
      <c r="BM309" s="26">
        <f t="shared" si="35"/>
        <v>1</v>
      </c>
      <c r="BN309">
        <f t="shared" si="30"/>
        <v>999</v>
      </c>
      <c r="BO309">
        <f t="shared" si="31"/>
        <v>999</v>
      </c>
    </row>
    <row r="310" spans="61:67" x14ac:dyDescent="0.25">
      <c r="BI310" s="3">
        <f t="shared" si="32"/>
        <v>25.666666666666572</v>
      </c>
      <c r="BJ310" s="1">
        <f t="shared" si="33"/>
        <v>83475.387013875574</v>
      </c>
      <c r="BK310" s="1">
        <f t="shared" si="34"/>
        <v>74011.29356655445</v>
      </c>
      <c r="BL310" s="26">
        <f t="shared" si="28"/>
        <v>1</v>
      </c>
      <c r="BM310" s="26">
        <f t="shared" si="35"/>
        <v>1</v>
      </c>
      <c r="BN310">
        <f t="shared" si="30"/>
        <v>999</v>
      </c>
      <c r="BO310">
        <f t="shared" si="31"/>
        <v>999</v>
      </c>
    </row>
    <row r="311" spans="61:67" x14ac:dyDescent="0.25">
      <c r="BI311" s="3">
        <f t="shared" si="32"/>
        <v>25.749999999999904</v>
      </c>
      <c r="BJ311" s="1">
        <f t="shared" si="33"/>
        <v>82864.509904787003</v>
      </c>
      <c r="BK311" s="1">
        <f t="shared" si="34"/>
        <v>73355.573212166666</v>
      </c>
      <c r="BL311" s="26">
        <f t="shared" si="28"/>
        <v>1</v>
      </c>
      <c r="BM311" s="26">
        <f t="shared" si="35"/>
        <v>1</v>
      </c>
      <c r="BN311">
        <f t="shared" si="30"/>
        <v>999</v>
      </c>
      <c r="BO311">
        <f t="shared" si="31"/>
        <v>999</v>
      </c>
    </row>
    <row r="312" spans="61:67" x14ac:dyDescent="0.25">
      <c r="BI312" s="3">
        <f t="shared" si="32"/>
        <v>25.833333333333236</v>
      </c>
      <c r="BJ312" s="1">
        <f t="shared" si="33"/>
        <v>82252.029243287077</v>
      </c>
      <c r="BK312" s="1">
        <f t="shared" si="34"/>
        <v>72698.131591848607</v>
      </c>
      <c r="BL312" s="26">
        <f t="shared" si="28"/>
        <v>1</v>
      </c>
      <c r="BM312" s="26">
        <f t="shared" si="35"/>
        <v>1</v>
      </c>
      <c r="BN312">
        <f t="shared" si="30"/>
        <v>999</v>
      </c>
      <c r="BO312">
        <f t="shared" si="31"/>
        <v>999</v>
      </c>
    </row>
    <row r="313" spans="61:67" x14ac:dyDescent="0.25">
      <c r="BI313" s="3">
        <f t="shared" si="32"/>
        <v>25.916666666666568</v>
      </c>
      <c r="BJ313" s="1">
        <f t="shared" si="33"/>
        <v>81637.940820050717</v>
      </c>
      <c r="BK313" s="1">
        <f t="shared" si="34"/>
        <v>72038.964187277219</v>
      </c>
      <c r="BL313" s="26">
        <f t="shared" si="28"/>
        <v>1</v>
      </c>
      <c r="BM313" s="26">
        <f t="shared" si="35"/>
        <v>1</v>
      </c>
      <c r="BN313">
        <f t="shared" si="30"/>
        <v>999</v>
      </c>
      <c r="BO313">
        <f t="shared" si="31"/>
        <v>999</v>
      </c>
    </row>
    <row r="314" spans="61:67" x14ac:dyDescent="0.25">
      <c r="BI314" s="3">
        <f t="shared" si="32"/>
        <v>25.999999999999901</v>
      </c>
      <c r="BJ314" s="1">
        <f t="shared" si="33"/>
        <v>81022.240414703352</v>
      </c>
      <c r="BK314" s="1">
        <f t="shared" si="34"/>
        <v>71378.066468268822</v>
      </c>
      <c r="BL314" s="26">
        <f t="shared" si="28"/>
        <v>1</v>
      </c>
      <c r="BM314" s="26">
        <f t="shared" si="35"/>
        <v>1</v>
      </c>
      <c r="BN314">
        <f t="shared" si="30"/>
        <v>999</v>
      </c>
      <c r="BO314">
        <f t="shared" si="31"/>
        <v>999</v>
      </c>
    </row>
    <row r="315" spans="61:67" x14ac:dyDescent="0.25">
      <c r="BI315" s="3">
        <f t="shared" si="32"/>
        <v>26.083333333333233</v>
      </c>
      <c r="BJ315" s="1">
        <f t="shared" si="33"/>
        <v>80404.923795791954</v>
      </c>
      <c r="BK315" s="1">
        <f t="shared" si="34"/>
        <v>70715.433892748028</v>
      </c>
      <c r="BL315" s="26">
        <f t="shared" si="28"/>
        <v>1</v>
      </c>
      <c r="BM315" s="26">
        <f t="shared" si="35"/>
        <v>1</v>
      </c>
      <c r="BN315">
        <f t="shared" si="30"/>
        <v>999</v>
      </c>
      <c r="BO315">
        <f t="shared" si="31"/>
        <v>999</v>
      </c>
    </row>
    <row r="316" spans="61:67" x14ac:dyDescent="0.25">
      <c r="BI316" s="3">
        <f t="shared" si="32"/>
        <v>26.166666666666565</v>
      </c>
      <c r="BJ316" s="1">
        <f t="shared" si="33"/>
        <v>79785.986720755915</v>
      </c>
      <c r="BK316" s="1">
        <f t="shared" si="34"/>
        <v>70051.061906716495</v>
      </c>
      <c r="BL316" s="26">
        <f t="shared" si="28"/>
        <v>1</v>
      </c>
      <c r="BM316" s="26">
        <f t="shared" si="35"/>
        <v>1</v>
      </c>
      <c r="BN316">
        <f t="shared" si="30"/>
        <v>999</v>
      </c>
      <c r="BO316">
        <f t="shared" si="31"/>
        <v>999</v>
      </c>
    </row>
    <row r="317" spans="61:67" x14ac:dyDescent="0.25">
      <c r="BI317" s="3">
        <f t="shared" si="32"/>
        <v>26.249999999999897</v>
      </c>
      <c r="BJ317" s="1">
        <f t="shared" si="33"/>
        <v>79165.4249358979</v>
      </c>
      <c r="BK317" s="1">
        <f t="shared" si="34"/>
        <v>69384.945944221632</v>
      </c>
      <c r="BL317" s="26">
        <f t="shared" si="28"/>
        <v>1</v>
      </c>
      <c r="BM317" s="26">
        <f t="shared" si="35"/>
        <v>1</v>
      </c>
      <c r="BN317">
        <f t="shared" si="30"/>
        <v>999</v>
      </c>
      <c r="BO317">
        <f t="shared" si="31"/>
        <v>999</v>
      </c>
    </row>
    <row r="318" spans="61:67" x14ac:dyDescent="0.25">
      <c r="BI318" s="3">
        <f t="shared" si="32"/>
        <v>26.333333333333229</v>
      </c>
      <c r="BJ318" s="1">
        <f t="shared" si="33"/>
        <v>78543.234176354643</v>
      </c>
      <c r="BK318" s="1">
        <f t="shared" si="34"/>
        <v>68717.081427325218</v>
      </c>
      <c r="BL318" s="26">
        <f t="shared" si="28"/>
        <v>1</v>
      </c>
      <c r="BM318" s="26">
        <f t="shared" si="35"/>
        <v>1</v>
      </c>
      <c r="BN318">
        <f t="shared" si="30"/>
        <v>999</v>
      </c>
      <c r="BO318">
        <f t="shared" si="31"/>
        <v>999</v>
      </c>
    </row>
    <row r="319" spans="61:67" x14ac:dyDescent="0.25">
      <c r="BI319" s="3">
        <f t="shared" si="32"/>
        <v>26.416666666666561</v>
      </c>
      <c r="BJ319" s="1">
        <f t="shared" si="33"/>
        <v>77919.410166067581</v>
      </c>
      <c r="BK319" s="1">
        <f t="shared" si="34"/>
        <v>68047.46376607196</v>
      </c>
      <c r="BL319" s="26">
        <f t="shared" si="28"/>
        <v>1</v>
      </c>
      <c r="BM319" s="26">
        <f t="shared" si="35"/>
        <v>1</v>
      </c>
      <c r="BN319">
        <f t="shared" si="30"/>
        <v>999</v>
      </c>
      <c r="BO319">
        <f t="shared" si="31"/>
        <v>999</v>
      </c>
    </row>
    <row r="320" spans="61:67" x14ac:dyDescent="0.25">
      <c r="BI320" s="3">
        <f t="shared" si="32"/>
        <v>26.499999999999893</v>
      </c>
      <c r="BJ320" s="1">
        <f t="shared" si="33"/>
        <v>77293.948617753515</v>
      </c>
      <c r="BK320" s="1">
        <f t="shared" si="34"/>
        <v>67376.088358457899</v>
      </c>
      <c r="BL320" s="26">
        <f t="shared" si="28"/>
        <v>1</v>
      </c>
      <c r="BM320" s="26">
        <f t="shared" si="35"/>
        <v>1</v>
      </c>
      <c r="BN320">
        <f t="shared" si="30"/>
        <v>999</v>
      </c>
      <c r="BO320">
        <f t="shared" si="31"/>
        <v>999</v>
      </c>
    </row>
    <row r="321" spans="61:67" x14ac:dyDescent="0.25">
      <c r="BI321" s="3">
        <f t="shared" si="32"/>
        <v>26.583333333333226</v>
      </c>
      <c r="BJ321" s="1">
        <f t="shared" si="33"/>
        <v>76666.84523287513</v>
      </c>
      <c r="BK321" s="1">
        <f t="shared" si="34"/>
        <v>66702.950590398861</v>
      </c>
      <c r="BL321" s="26">
        <f t="shared" si="28"/>
        <v>1</v>
      </c>
      <c r="BM321" s="26">
        <f t="shared" si="35"/>
        <v>1</v>
      </c>
      <c r="BN321">
        <f t="shared" si="30"/>
        <v>999</v>
      </c>
      <c r="BO321">
        <f t="shared" si="31"/>
        <v>999</v>
      </c>
    </row>
    <row r="322" spans="61:67" x14ac:dyDescent="0.25">
      <c r="BI322" s="3">
        <f t="shared" si="32"/>
        <v>26.666666666666558</v>
      </c>
      <c r="BJ322" s="1">
        <f t="shared" si="33"/>
        <v>76038.095701611441</v>
      </c>
      <c r="BK322" s="1">
        <f t="shared" si="34"/>
        <v>66028.045835698664</v>
      </c>
      <c r="BL322" s="26">
        <f t="shared" ref="BL322:BL385" si="36">IF(BI322&gt;$G$12,0,1)</f>
        <v>1</v>
      </c>
      <c r="BM322" s="26">
        <f t="shared" si="35"/>
        <v>1</v>
      </c>
      <c r="BN322">
        <f t="shared" ref="BN322:BN385" si="37">IF(BK322&lt;0,BI322,999)</f>
        <v>999</v>
      </c>
      <c r="BO322">
        <f t="shared" ref="BO322:BO385" si="38">IF(BJ322&lt;0,BI322,999)</f>
        <v>999</v>
      </c>
    </row>
    <row r="323" spans="61:67" x14ac:dyDescent="0.25">
      <c r="BI323" s="3">
        <f t="shared" ref="BI323:BI386" si="39">BI322+1/12</f>
        <v>26.74999999999989</v>
      </c>
      <c r="BJ323" s="1">
        <f t="shared" ref="BJ323:BJ386" si="40">BJ322*(1+$C$4/12) - $C$3</f>
        <v>75407.695702828176</v>
      </c>
      <c r="BK323" s="1">
        <f t="shared" si="34"/>
        <v>65351.369456017375</v>
      </c>
      <c r="BL323" s="26">
        <f t="shared" si="36"/>
        <v>1</v>
      </c>
      <c r="BM323" s="26">
        <f t="shared" si="35"/>
        <v>1</v>
      </c>
      <c r="BN323">
        <f t="shared" si="37"/>
        <v>999</v>
      </c>
      <c r="BO323">
        <f t="shared" si="38"/>
        <v>999</v>
      </c>
    </row>
    <row r="324" spans="61:67" x14ac:dyDescent="0.25">
      <c r="BI324" s="3">
        <f t="shared" si="39"/>
        <v>26.833333333333222</v>
      </c>
      <c r="BJ324" s="1">
        <f t="shared" si="40"/>
        <v>74775.640904048108</v>
      </c>
      <c r="BK324" s="1">
        <f t="shared" ref="BK324:BK387" si="41">BK323*(1+$D$4/12)-$C$3-($D$3-$C$3)*BL324</f>
        <v>64672.916800839426</v>
      </c>
      <c r="BL324" s="26">
        <f t="shared" si="36"/>
        <v>1</v>
      </c>
      <c r="BM324" s="26">
        <f t="shared" si="35"/>
        <v>1</v>
      </c>
      <c r="BN324">
        <f t="shared" si="37"/>
        <v>999</v>
      </c>
      <c r="BO324">
        <f t="shared" si="38"/>
        <v>999</v>
      </c>
    </row>
    <row r="325" spans="61:67" x14ac:dyDescent="0.25">
      <c r="BI325" s="3">
        <f t="shared" si="39"/>
        <v>26.916666666666554</v>
      </c>
      <c r="BJ325" s="1">
        <f t="shared" si="40"/>
        <v>74141.926961421239</v>
      </c>
      <c r="BK325" s="1">
        <f t="shared" si="41"/>
        <v>63992.683207441638</v>
      </c>
      <c r="BL325" s="26">
        <f t="shared" si="36"/>
        <v>1</v>
      </c>
      <c r="BM325" s="26">
        <f t="shared" si="35"/>
        <v>1</v>
      </c>
      <c r="BN325">
        <f t="shared" si="37"/>
        <v>999</v>
      </c>
      <c r="BO325">
        <f t="shared" si="38"/>
        <v>999</v>
      </c>
    </row>
    <row r="326" spans="61:67" x14ac:dyDescent="0.25">
      <c r="BI326" s="3">
        <f t="shared" si="39"/>
        <v>26.999999999999886</v>
      </c>
      <c r="BJ326" s="1">
        <f t="shared" si="40"/>
        <v>73506.549519694978</v>
      </c>
      <c r="BK326" s="1">
        <f t="shared" si="41"/>
        <v>63310.664000861179</v>
      </c>
      <c r="BL326" s="26">
        <f t="shared" si="36"/>
        <v>1</v>
      </c>
      <c r="BM326" s="26">
        <f t="shared" si="35"/>
        <v>1</v>
      </c>
      <c r="BN326">
        <f t="shared" si="37"/>
        <v>999</v>
      </c>
      <c r="BO326">
        <f t="shared" si="38"/>
        <v>999</v>
      </c>
    </row>
    <row r="327" spans="61:67" x14ac:dyDescent="0.25">
      <c r="BI327" s="3">
        <f t="shared" si="39"/>
        <v>27.083333333333218</v>
      </c>
      <c r="BJ327" s="1">
        <f t="shared" si="40"/>
        <v>72869.504212184183</v>
      </c>
      <c r="BK327" s="1">
        <f t="shared" si="41"/>
        <v>62626.854493863444</v>
      </c>
      <c r="BL327" s="26">
        <f t="shared" si="36"/>
        <v>1</v>
      </c>
      <c r="BM327" s="26">
        <f t="shared" si="35"/>
        <v>1</v>
      </c>
      <c r="BN327">
        <f t="shared" si="37"/>
        <v>999</v>
      </c>
      <c r="BO327">
        <f t="shared" si="38"/>
        <v>999</v>
      </c>
    </row>
    <row r="328" spans="61:67" x14ac:dyDescent="0.25">
      <c r="BI328" s="3">
        <f t="shared" si="39"/>
        <v>27.166666666666551</v>
      </c>
      <c r="BJ328" s="1">
        <f t="shared" si="40"/>
        <v>72230.786660741171</v>
      </c>
      <c r="BK328" s="1">
        <f t="shared" si="41"/>
        <v>61941.249986909839</v>
      </c>
      <c r="BL328" s="26">
        <f t="shared" si="36"/>
        <v>1</v>
      </c>
      <c r="BM328" s="26">
        <f t="shared" si="35"/>
        <v>1</v>
      </c>
      <c r="BN328">
        <f t="shared" si="37"/>
        <v>999</v>
      </c>
      <c r="BO328">
        <f t="shared" si="38"/>
        <v>999</v>
      </c>
    </row>
    <row r="329" spans="61:67" x14ac:dyDescent="0.25">
      <c r="BI329" s="3">
        <f t="shared" si="39"/>
        <v>27.249999999999883</v>
      </c>
      <c r="BJ329" s="1">
        <f t="shared" si="40"/>
        <v>71590.392475725617</v>
      </c>
      <c r="BK329" s="1">
        <f t="shared" si="41"/>
        <v>61253.84576812548</v>
      </c>
      <c r="BL329" s="26">
        <f t="shared" si="36"/>
        <v>1</v>
      </c>
      <c r="BM329" s="26">
        <f t="shared" si="35"/>
        <v>1</v>
      </c>
      <c r="BN329">
        <f t="shared" si="37"/>
        <v>999</v>
      </c>
      <c r="BO329">
        <f t="shared" si="38"/>
        <v>999</v>
      </c>
    </row>
    <row r="330" spans="61:67" x14ac:dyDescent="0.25">
      <c r="BI330" s="3">
        <f t="shared" si="39"/>
        <v>27.333333333333215</v>
      </c>
      <c r="BJ330" s="1">
        <f t="shared" si="40"/>
        <v>70948.317255974398</v>
      </c>
      <c r="BK330" s="1">
        <f t="shared" si="41"/>
        <v>60564.637113266814</v>
      </c>
      <c r="BL330" s="26">
        <f t="shared" si="36"/>
        <v>1</v>
      </c>
      <c r="BM330" s="26">
        <f t="shared" si="35"/>
        <v>1</v>
      </c>
      <c r="BN330">
        <f t="shared" si="37"/>
        <v>999</v>
      </c>
      <c r="BO330">
        <f t="shared" si="38"/>
        <v>999</v>
      </c>
    </row>
    <row r="331" spans="61:67" x14ac:dyDescent="0.25">
      <c r="BI331" s="3">
        <f t="shared" si="39"/>
        <v>27.416666666666547</v>
      </c>
      <c r="BJ331" s="1">
        <f t="shared" si="40"/>
        <v>70304.556588771331</v>
      </c>
      <c r="BK331" s="1">
        <f t="shared" si="41"/>
        <v>59873.619285689143</v>
      </c>
      <c r="BL331" s="26">
        <f t="shared" si="36"/>
        <v>1</v>
      </c>
      <c r="BM331" s="26">
        <f t="shared" si="35"/>
        <v>1</v>
      </c>
      <c r="BN331">
        <f t="shared" si="37"/>
        <v>999</v>
      </c>
      <c r="BO331">
        <f t="shared" si="38"/>
        <v>999</v>
      </c>
    </row>
    <row r="332" spans="61:67" x14ac:dyDescent="0.25">
      <c r="BI332" s="3">
        <f t="shared" si="39"/>
        <v>27.499999999999879</v>
      </c>
      <c r="BJ332" s="1">
        <f t="shared" si="40"/>
        <v>69659.106049816866</v>
      </c>
      <c r="BK332" s="1">
        <f t="shared" si="41"/>
        <v>59180.787536314085</v>
      </c>
      <c r="BL332" s="26">
        <f t="shared" si="36"/>
        <v>1</v>
      </c>
      <c r="BM332" s="26">
        <f t="shared" si="35"/>
        <v>1</v>
      </c>
      <c r="BN332">
        <f t="shared" si="37"/>
        <v>999</v>
      </c>
      <c r="BO332">
        <f t="shared" si="38"/>
        <v>999</v>
      </c>
    </row>
    <row r="333" spans="61:67" x14ac:dyDescent="0.25">
      <c r="BI333" s="3">
        <f t="shared" si="39"/>
        <v>27.583333333333211</v>
      </c>
      <c r="BJ333" s="1">
        <f t="shared" si="40"/>
        <v>69011.961203197643</v>
      </c>
      <c r="BK333" s="1">
        <f t="shared" si="41"/>
        <v>58486.137103596913</v>
      </c>
      <c r="BL333" s="26">
        <f t="shared" si="36"/>
        <v>1</v>
      </c>
      <c r="BM333" s="26">
        <f t="shared" si="35"/>
        <v>1</v>
      </c>
      <c r="BN333">
        <f t="shared" si="37"/>
        <v>999</v>
      </c>
      <c r="BO333">
        <f t="shared" si="38"/>
        <v>999</v>
      </c>
    </row>
    <row r="334" spans="61:67" x14ac:dyDescent="0.25">
      <c r="BI334" s="3">
        <f t="shared" si="39"/>
        <v>27.666666666666544</v>
      </c>
      <c r="BJ334" s="1">
        <f t="shared" si="40"/>
        <v>68363.117601356047</v>
      </c>
      <c r="BK334" s="1">
        <f t="shared" si="41"/>
        <v>57789.663213493863</v>
      </c>
      <c r="BL334" s="26">
        <f t="shared" si="36"/>
        <v>1</v>
      </c>
      <c r="BM334" s="26">
        <f t="shared" si="35"/>
        <v>1</v>
      </c>
      <c r="BN334">
        <f t="shared" si="37"/>
        <v>999</v>
      </c>
      <c r="BO334">
        <f t="shared" si="38"/>
        <v>999</v>
      </c>
    </row>
    <row r="335" spans="61:67" x14ac:dyDescent="0.25">
      <c r="BI335" s="3">
        <f t="shared" si="39"/>
        <v>27.749999999999876</v>
      </c>
      <c r="BJ335" s="1">
        <f t="shared" si="40"/>
        <v>67712.570785059608</v>
      </c>
      <c r="BK335" s="1">
        <f t="shared" si="41"/>
        <v>57091.361079429291</v>
      </c>
      <c r="BL335" s="26">
        <f t="shared" si="36"/>
        <v>1</v>
      </c>
      <c r="BM335" s="26">
        <f t="shared" si="35"/>
        <v>1</v>
      </c>
      <c r="BN335">
        <f t="shared" si="37"/>
        <v>999</v>
      </c>
      <c r="BO335">
        <f t="shared" si="38"/>
        <v>999</v>
      </c>
    </row>
    <row r="336" spans="61:67" x14ac:dyDescent="0.25">
      <c r="BI336" s="3">
        <f t="shared" si="39"/>
        <v>27.833333333333208</v>
      </c>
      <c r="BJ336" s="1">
        <f t="shared" si="40"/>
        <v>67060.316283370397</v>
      </c>
      <c r="BK336" s="1">
        <f t="shared" si="41"/>
        <v>56391.225902262799</v>
      </c>
      <c r="BL336" s="26">
        <f t="shared" si="36"/>
        <v>1</v>
      </c>
      <c r="BM336" s="26">
        <f t="shared" si="35"/>
        <v>1</v>
      </c>
      <c r="BN336">
        <f t="shared" si="37"/>
        <v>999</v>
      </c>
      <c r="BO336">
        <f t="shared" si="38"/>
        <v>999</v>
      </c>
    </row>
    <row r="337" spans="61:67" x14ac:dyDescent="0.25">
      <c r="BI337" s="3">
        <f t="shared" si="39"/>
        <v>27.91666666666654</v>
      </c>
      <c r="BJ337" s="1">
        <f t="shared" si="40"/>
        <v>66406.349613614249</v>
      </c>
      <c r="BK337" s="1">
        <f t="shared" si="41"/>
        <v>55689.252870256241</v>
      </c>
      <c r="BL337" s="26">
        <f t="shared" si="36"/>
        <v>1</v>
      </c>
      <c r="BM337" s="26">
        <f t="shared" si="35"/>
        <v>1</v>
      </c>
      <c r="BN337">
        <f t="shared" si="37"/>
        <v>999</v>
      </c>
      <c r="BO337">
        <f t="shared" si="38"/>
        <v>999</v>
      </c>
    </row>
    <row r="338" spans="61:67" x14ac:dyDescent="0.25">
      <c r="BI338" s="3">
        <f t="shared" si="39"/>
        <v>27.999999999999872</v>
      </c>
      <c r="BJ338" s="1">
        <f t="shared" si="40"/>
        <v>65750.666281350001</v>
      </c>
      <c r="BK338" s="1">
        <f t="shared" si="41"/>
        <v>54985.437159040666</v>
      </c>
      <c r="BL338" s="26">
        <f t="shared" si="36"/>
        <v>1</v>
      </c>
      <c r="BM338" s="26">
        <f t="shared" si="35"/>
        <v>1</v>
      </c>
      <c r="BN338">
        <f t="shared" si="37"/>
        <v>999</v>
      </c>
      <c r="BO338">
        <f t="shared" si="38"/>
        <v>999</v>
      </c>
    </row>
    <row r="339" spans="61:67" x14ac:dyDescent="0.25">
      <c r="BI339" s="3">
        <f t="shared" si="39"/>
        <v>28.083333333333204</v>
      </c>
      <c r="BJ339" s="1">
        <f t="shared" si="40"/>
        <v>65093.261780338551</v>
      </c>
      <c r="BK339" s="1">
        <f t="shared" si="41"/>
        <v>54279.773931583157</v>
      </c>
      <c r="BL339" s="26">
        <f t="shared" si="36"/>
        <v>1</v>
      </c>
      <c r="BM339" s="26">
        <f t="shared" si="35"/>
        <v>1</v>
      </c>
      <c r="BN339">
        <f t="shared" si="37"/>
        <v>999</v>
      </c>
      <c r="BO339">
        <f t="shared" si="38"/>
        <v>999</v>
      </c>
    </row>
    <row r="340" spans="61:67" x14ac:dyDescent="0.25">
      <c r="BI340" s="3">
        <f t="shared" si="39"/>
        <v>28.166666666666536</v>
      </c>
      <c r="BJ340" s="1">
        <f t="shared" si="40"/>
        <v>64434.131592511949</v>
      </c>
      <c r="BK340" s="1">
        <f t="shared" si="41"/>
        <v>53572.258338153566</v>
      </c>
      <c r="BL340" s="26">
        <f t="shared" si="36"/>
        <v>1</v>
      </c>
      <c r="BM340" s="26">
        <f t="shared" si="35"/>
        <v>1</v>
      </c>
      <c r="BN340">
        <f t="shared" si="37"/>
        <v>999</v>
      </c>
      <c r="BO340">
        <f t="shared" si="38"/>
        <v>999</v>
      </c>
    </row>
    <row r="341" spans="61:67" x14ac:dyDescent="0.25">
      <c r="BI341" s="3">
        <f t="shared" si="39"/>
        <v>28.249999999999869</v>
      </c>
      <c r="BJ341" s="1">
        <f t="shared" si="40"/>
        <v>63773.2711879423</v>
      </c>
      <c r="BK341" s="1">
        <f t="shared" si="41"/>
        <v>52862.885516291222</v>
      </c>
      <c r="BL341" s="26">
        <f t="shared" si="36"/>
        <v>1</v>
      </c>
      <c r="BM341" s="26">
        <f t="shared" si="35"/>
        <v>1</v>
      </c>
      <c r="BN341">
        <f t="shared" si="37"/>
        <v>999</v>
      </c>
      <c r="BO341">
        <f t="shared" si="38"/>
        <v>999</v>
      </c>
    </row>
    <row r="342" spans="61:67" x14ac:dyDescent="0.25">
      <c r="BI342" s="3">
        <f t="shared" si="39"/>
        <v>28.333333333333201</v>
      </c>
      <c r="BJ342" s="1">
        <f t="shared" si="40"/>
        <v>63110.676024810658</v>
      </c>
      <c r="BK342" s="1">
        <f t="shared" si="41"/>
        <v>52151.650590771489</v>
      </c>
      <c r="BL342" s="26">
        <f t="shared" si="36"/>
        <v>1</v>
      </c>
      <c r="BM342" s="26">
        <f t="shared" si="35"/>
        <v>1</v>
      </c>
      <c r="BN342">
        <f t="shared" si="37"/>
        <v>999</v>
      </c>
      <c r="BO342">
        <f t="shared" si="38"/>
        <v>999</v>
      </c>
    </row>
    <row r="343" spans="61:67" x14ac:dyDescent="0.25">
      <c r="BI343" s="3">
        <f t="shared" si="39"/>
        <v>28.416666666666533</v>
      </c>
      <c r="BJ343" s="1">
        <f t="shared" si="40"/>
        <v>62446.341549375793</v>
      </c>
      <c r="BK343" s="1">
        <f t="shared" si="41"/>
        <v>51438.548673572266</v>
      </c>
      <c r="BL343" s="26">
        <f t="shared" si="36"/>
        <v>1</v>
      </c>
      <c r="BM343" s="26">
        <f t="shared" si="35"/>
        <v>1</v>
      </c>
      <c r="BN343">
        <f t="shared" si="37"/>
        <v>999</v>
      </c>
      <c r="BO343">
        <f t="shared" si="38"/>
        <v>999</v>
      </c>
    </row>
    <row r="344" spans="61:67" x14ac:dyDescent="0.25">
      <c r="BI344" s="3">
        <f t="shared" si="39"/>
        <v>28.499999999999865</v>
      </c>
      <c r="BJ344" s="1">
        <f t="shared" si="40"/>
        <v>61780.263195942913</v>
      </c>
      <c r="BK344" s="1">
        <f t="shared" si="41"/>
        <v>50723.574863840397</v>
      </c>
      <c r="BL344" s="26">
        <f t="shared" si="36"/>
        <v>1</v>
      </c>
      <c r="BM344" s="26">
        <f t="shared" si="35"/>
        <v>1</v>
      </c>
      <c r="BN344">
        <f t="shared" si="37"/>
        <v>999</v>
      </c>
      <c r="BO344">
        <f t="shared" si="38"/>
        <v>999</v>
      </c>
    </row>
    <row r="345" spans="61:67" x14ac:dyDescent="0.25">
      <c r="BI345" s="3">
        <f t="shared" si="39"/>
        <v>28.583333333333197</v>
      </c>
      <c r="BJ345" s="1">
        <f t="shared" si="40"/>
        <v>61112.436386832269</v>
      </c>
      <c r="BK345" s="1">
        <f t="shared" si="41"/>
        <v>50006.724247857979</v>
      </c>
      <c r="BL345" s="26">
        <f t="shared" si="36"/>
        <v>1</v>
      </c>
      <c r="BM345" s="26">
        <f t="shared" si="35"/>
        <v>1</v>
      </c>
      <c r="BN345">
        <f t="shared" si="37"/>
        <v>999</v>
      </c>
      <c r="BO345">
        <f t="shared" si="38"/>
        <v>999</v>
      </c>
    </row>
    <row r="346" spans="61:67" x14ac:dyDescent="0.25">
      <c r="BI346" s="3">
        <f t="shared" si="39"/>
        <v>28.666666666666529</v>
      </c>
      <c r="BJ346" s="1">
        <f t="shared" si="40"/>
        <v>60442.856532347709</v>
      </c>
      <c r="BK346" s="1">
        <f t="shared" si="41"/>
        <v>49287.991899008608</v>
      </c>
      <c r="BL346" s="26">
        <f t="shared" si="36"/>
        <v>1</v>
      </c>
      <c r="BM346" s="26">
        <f t="shared" si="35"/>
        <v>1</v>
      </c>
      <c r="BN346">
        <f t="shared" si="37"/>
        <v>999</v>
      </c>
      <c r="BO346">
        <f t="shared" si="38"/>
        <v>999</v>
      </c>
    </row>
    <row r="347" spans="61:67" x14ac:dyDescent="0.25">
      <c r="BI347" s="3">
        <f t="shared" si="39"/>
        <v>28.749999999999861</v>
      </c>
      <c r="BJ347" s="1">
        <f t="shared" si="40"/>
        <v>59771.519030745127</v>
      </c>
      <c r="BK347" s="1">
        <f t="shared" si="41"/>
        <v>48567.37287774351</v>
      </c>
      <c r="BL347" s="26">
        <f t="shared" si="36"/>
        <v>1</v>
      </c>
      <c r="BM347" s="26">
        <f t="shared" ref="BM347:BM410" si="42">IF(AND(BL347&gt;0,BK347&gt;0),1,0)</f>
        <v>1</v>
      </c>
      <c r="BN347">
        <f t="shared" si="37"/>
        <v>999</v>
      </c>
      <c r="BO347">
        <f t="shared" si="38"/>
        <v>999</v>
      </c>
    </row>
    <row r="348" spans="61:67" x14ac:dyDescent="0.25">
      <c r="BI348" s="3">
        <f t="shared" si="39"/>
        <v>28.833333333333194</v>
      </c>
      <c r="BJ348" s="1">
        <f t="shared" si="40"/>
        <v>59098.419268200836</v>
      </c>
      <c r="BK348" s="1">
        <f t="shared" si="41"/>
        <v>47844.862231547595</v>
      </c>
      <c r="BL348" s="26">
        <f t="shared" si="36"/>
        <v>1</v>
      </c>
      <c r="BM348" s="26">
        <f t="shared" si="42"/>
        <v>1</v>
      </c>
      <c r="BN348">
        <f t="shared" si="37"/>
        <v>999</v>
      </c>
      <c r="BO348">
        <f t="shared" si="38"/>
        <v>999</v>
      </c>
    </row>
    <row r="349" spans="61:67" x14ac:dyDescent="0.25">
      <c r="BI349" s="3">
        <f t="shared" si="39"/>
        <v>28.916666666666526</v>
      </c>
      <c r="BJ349" s="1">
        <f t="shared" si="40"/>
        <v>58423.552618779868</v>
      </c>
      <c r="BK349" s="1">
        <f t="shared" si="41"/>
        <v>47120.454994905413</v>
      </c>
      <c r="BL349" s="26">
        <f t="shared" si="36"/>
        <v>1</v>
      </c>
      <c r="BM349" s="26">
        <f t="shared" si="42"/>
        <v>1</v>
      </c>
      <c r="BN349">
        <f t="shared" si="37"/>
        <v>999</v>
      </c>
      <c r="BO349">
        <f t="shared" si="38"/>
        <v>999</v>
      </c>
    </row>
    <row r="350" spans="61:67" x14ac:dyDescent="0.25">
      <c r="BI350" s="3">
        <f t="shared" si="39"/>
        <v>28.999999999999858</v>
      </c>
      <c r="BJ350" s="1">
        <f t="shared" si="40"/>
        <v>57746.914444404174</v>
      </c>
      <c r="BK350" s="1">
        <f t="shared" si="41"/>
        <v>46394.146189267041</v>
      </c>
      <c r="BL350" s="26">
        <f t="shared" si="36"/>
        <v>1</v>
      </c>
      <c r="BM350" s="26">
        <f t="shared" si="42"/>
        <v>1</v>
      </c>
      <c r="BN350">
        <f t="shared" si="37"/>
        <v>999</v>
      </c>
      <c r="BO350">
        <f t="shared" si="38"/>
        <v>999</v>
      </c>
    </row>
    <row r="351" spans="61:67" x14ac:dyDescent="0.25">
      <c r="BI351" s="3">
        <f t="shared" si="39"/>
        <v>29.08333333333319</v>
      </c>
      <c r="BJ351" s="1">
        <f t="shared" si="40"/>
        <v>57068.500094820738</v>
      </c>
      <c r="BK351" s="1">
        <f t="shared" si="41"/>
        <v>45665.93082301387</v>
      </c>
      <c r="BL351" s="26">
        <f t="shared" si="36"/>
        <v>1</v>
      </c>
      <c r="BM351" s="26">
        <f t="shared" si="42"/>
        <v>1</v>
      </c>
      <c r="BN351">
        <f t="shared" si="37"/>
        <v>999</v>
      </c>
      <c r="BO351">
        <f t="shared" si="38"/>
        <v>999</v>
      </c>
    </row>
    <row r="352" spans="61:67" x14ac:dyDescent="0.25">
      <c r="BI352" s="3">
        <f t="shared" si="39"/>
        <v>29.166666666666522</v>
      </c>
      <c r="BJ352" s="1">
        <f t="shared" si="40"/>
        <v>56388.304907569647</v>
      </c>
      <c r="BK352" s="1">
        <f t="shared" si="41"/>
        <v>44935.803891424286</v>
      </c>
      <c r="BL352" s="26">
        <f t="shared" si="36"/>
        <v>1</v>
      </c>
      <c r="BM352" s="26">
        <f t="shared" si="42"/>
        <v>1</v>
      </c>
      <c r="BN352">
        <f t="shared" si="37"/>
        <v>999</v>
      </c>
      <c r="BO352">
        <f t="shared" si="38"/>
        <v>999</v>
      </c>
    </row>
    <row r="353" spans="61:67" x14ac:dyDescent="0.25">
      <c r="BI353" s="3">
        <f t="shared" si="39"/>
        <v>29.249999999999854</v>
      </c>
      <c r="BJ353" s="1">
        <f t="shared" si="40"/>
        <v>55706.324207952021</v>
      </c>
      <c r="BK353" s="1">
        <f t="shared" si="41"/>
        <v>44203.760376639279</v>
      </c>
      <c r="BL353" s="26">
        <f t="shared" si="36"/>
        <v>1</v>
      </c>
      <c r="BM353" s="26">
        <f t="shared" si="42"/>
        <v>1</v>
      </c>
      <c r="BN353">
        <f t="shared" si="37"/>
        <v>999</v>
      </c>
      <c r="BO353">
        <f t="shared" si="38"/>
        <v>999</v>
      </c>
    </row>
    <row r="354" spans="61:67" x14ac:dyDescent="0.25">
      <c r="BI354" s="3">
        <f t="shared" si="39"/>
        <v>29.333333333333186</v>
      </c>
      <c r="BJ354" s="1">
        <f t="shared" si="40"/>
        <v>55022.5533089979</v>
      </c>
      <c r="BK354" s="1">
        <f t="shared" si="41"/>
        <v>43469.795247627961</v>
      </c>
      <c r="BL354" s="26">
        <f t="shared" si="36"/>
        <v>1</v>
      </c>
      <c r="BM354" s="26">
        <f t="shared" si="42"/>
        <v>1</v>
      </c>
      <c r="BN354">
        <f t="shared" si="37"/>
        <v>999</v>
      </c>
      <c r="BO354">
        <f t="shared" si="38"/>
        <v>999</v>
      </c>
    </row>
    <row r="355" spans="61:67" x14ac:dyDescent="0.25">
      <c r="BI355" s="3">
        <f t="shared" si="39"/>
        <v>29.416666666666519</v>
      </c>
      <c r="BJ355" s="1">
        <f t="shared" si="40"/>
        <v>54336.987511434025</v>
      </c>
      <c r="BK355" s="1">
        <f t="shared" si="41"/>
        <v>42733.903460152986</v>
      </c>
      <c r="BL355" s="26">
        <f t="shared" si="36"/>
        <v>1</v>
      </c>
      <c r="BM355" s="26">
        <f t="shared" si="42"/>
        <v>1</v>
      </c>
      <c r="BN355">
        <f t="shared" si="37"/>
        <v>999</v>
      </c>
      <c r="BO355">
        <f t="shared" si="38"/>
        <v>999</v>
      </c>
    </row>
    <row r="356" spans="61:67" x14ac:dyDescent="0.25">
      <c r="BI356" s="3">
        <f t="shared" si="39"/>
        <v>29.499999999999851</v>
      </c>
      <c r="BJ356" s="1">
        <f t="shared" si="40"/>
        <v>53649.622103651542</v>
      </c>
      <c r="BK356" s="1">
        <f t="shared" si="41"/>
        <v>41996.079956735892</v>
      </c>
      <c r="BL356" s="26">
        <f t="shared" si="36"/>
        <v>1</v>
      </c>
      <c r="BM356" s="26">
        <f t="shared" si="42"/>
        <v>1</v>
      </c>
      <c r="BN356">
        <f t="shared" si="37"/>
        <v>999</v>
      </c>
      <c r="BO356">
        <f t="shared" si="38"/>
        <v>999</v>
      </c>
    </row>
    <row r="357" spans="61:67" x14ac:dyDescent="0.25">
      <c r="BI357" s="3">
        <f t="shared" si="39"/>
        <v>29.583333333333183</v>
      </c>
      <c r="BJ357" s="1">
        <f t="shared" si="40"/>
        <v>52960.452361673633</v>
      </c>
      <c r="BK357" s="1">
        <f t="shared" si="41"/>
        <v>41256.31966662233</v>
      </c>
      <c r="BL357" s="26">
        <f t="shared" si="36"/>
        <v>1</v>
      </c>
      <c r="BM357" s="26">
        <f t="shared" si="42"/>
        <v>1</v>
      </c>
      <c r="BN357">
        <f t="shared" si="37"/>
        <v>999</v>
      </c>
      <c r="BO357">
        <f t="shared" si="38"/>
        <v>999</v>
      </c>
    </row>
    <row r="358" spans="61:67" x14ac:dyDescent="0.25">
      <c r="BI358" s="3">
        <f t="shared" si="39"/>
        <v>29.666666666666515</v>
      </c>
      <c r="BJ358" s="1">
        <f t="shared" si="40"/>
        <v>52269.473549123031</v>
      </c>
      <c r="BK358" s="1">
        <f t="shared" si="41"/>
        <v>40514.617505747221</v>
      </c>
      <c r="BL358" s="26">
        <f t="shared" si="36"/>
        <v>1</v>
      </c>
      <c r="BM358" s="26">
        <f t="shared" si="42"/>
        <v>1</v>
      </c>
      <c r="BN358">
        <f t="shared" si="37"/>
        <v>999</v>
      </c>
      <c r="BO358">
        <f t="shared" si="38"/>
        <v>999</v>
      </c>
    </row>
    <row r="359" spans="61:67" x14ac:dyDescent="0.25">
      <c r="BI359" s="3">
        <f t="shared" si="39"/>
        <v>29.749999999999847</v>
      </c>
      <c r="BJ359" s="1">
        <f t="shared" si="40"/>
        <v>51576.680917189486</v>
      </c>
      <c r="BK359" s="1">
        <f t="shared" si="41"/>
        <v>39770.968376699813</v>
      </c>
      <c r="BL359" s="26">
        <f t="shared" si="36"/>
        <v>1</v>
      </c>
      <c r="BM359" s="26">
        <f t="shared" si="42"/>
        <v>1</v>
      </c>
      <c r="BN359">
        <f t="shared" si="37"/>
        <v>999</v>
      </c>
      <c r="BO359">
        <f t="shared" si="38"/>
        <v>999</v>
      </c>
    </row>
    <row r="360" spans="61:67" x14ac:dyDescent="0.25">
      <c r="BI360" s="3">
        <f t="shared" si="39"/>
        <v>29.833333333333179</v>
      </c>
      <c r="BJ360" s="1">
        <f t="shared" si="40"/>
        <v>50882.06970459711</v>
      </c>
      <c r="BK360" s="1">
        <f t="shared" si="41"/>
        <v>39025.367168688652</v>
      </c>
      <c r="BL360" s="26">
        <f t="shared" si="36"/>
        <v>1</v>
      </c>
      <c r="BM360" s="26">
        <f t="shared" si="42"/>
        <v>1</v>
      </c>
      <c r="BN360">
        <f t="shared" si="37"/>
        <v>999</v>
      </c>
      <c r="BO360">
        <f t="shared" si="38"/>
        <v>999</v>
      </c>
    </row>
    <row r="361" spans="61:67" x14ac:dyDescent="0.25">
      <c r="BI361" s="3">
        <f t="shared" si="39"/>
        <v>29.916666666666512</v>
      </c>
      <c r="BJ361" s="1">
        <f t="shared" si="40"/>
        <v>50185.635137571684</v>
      </c>
      <c r="BK361" s="1">
        <f t="shared" si="41"/>
        <v>38277.808757506464</v>
      </c>
      <c r="BL361" s="26">
        <f t="shared" si="36"/>
        <v>1</v>
      </c>
      <c r="BM361" s="26">
        <f t="shared" si="42"/>
        <v>1</v>
      </c>
      <c r="BN361">
        <f t="shared" si="37"/>
        <v>999</v>
      </c>
      <c r="BO361">
        <f t="shared" si="38"/>
        <v>999</v>
      </c>
    </row>
    <row r="362" spans="61:67" x14ac:dyDescent="0.25">
      <c r="BI362" s="3">
        <f t="shared" si="39"/>
        <v>29.999999999999844</v>
      </c>
      <c r="BJ362" s="1">
        <f t="shared" si="40"/>
        <v>49487.372429807816</v>
      </c>
      <c r="BK362" s="1">
        <f t="shared" si="41"/>
        <v>37528.28800549492</v>
      </c>
      <c r="BL362" s="26">
        <f t="shared" si="36"/>
        <v>1</v>
      </c>
      <c r="BM362" s="26">
        <f t="shared" si="42"/>
        <v>1</v>
      </c>
      <c r="BN362">
        <f t="shared" si="37"/>
        <v>999</v>
      </c>
      <c r="BO362">
        <f t="shared" si="38"/>
        <v>999</v>
      </c>
    </row>
    <row r="363" spans="61:67" x14ac:dyDescent="0.25">
      <c r="BI363" s="3">
        <f t="shared" si="39"/>
        <v>30.083333333333176</v>
      </c>
      <c r="BJ363" s="1">
        <f t="shared" si="40"/>
        <v>48787.276782436064</v>
      </c>
      <c r="BK363" s="1">
        <f t="shared" si="41"/>
        <v>36776.799761509348</v>
      </c>
      <c r="BL363" s="26">
        <f t="shared" si="36"/>
        <v>1</v>
      </c>
      <c r="BM363" s="26">
        <f t="shared" si="42"/>
        <v>1</v>
      </c>
      <c r="BN363">
        <f t="shared" si="37"/>
        <v>999</v>
      </c>
      <c r="BO363">
        <f t="shared" si="38"/>
        <v>999</v>
      </c>
    </row>
    <row r="364" spans="61:67" x14ac:dyDescent="0.25">
      <c r="BI364" s="3">
        <f t="shared" si="39"/>
        <v>30.166666666666508</v>
      </c>
      <c r="BJ364" s="1">
        <f t="shared" si="40"/>
        <v>48085.343383989966</v>
      </c>
      <c r="BK364" s="1">
        <f t="shared" si="41"/>
        <v>36023.338860883312</v>
      </c>
      <c r="BL364" s="26">
        <f t="shared" si="36"/>
        <v>1</v>
      </c>
      <c r="BM364" s="26">
        <f t="shared" si="42"/>
        <v>1</v>
      </c>
      <c r="BN364">
        <f t="shared" si="37"/>
        <v>999</v>
      </c>
      <c r="BO364">
        <f t="shared" si="38"/>
        <v>999</v>
      </c>
    </row>
    <row r="365" spans="61:67" x14ac:dyDescent="0.25">
      <c r="BI365" s="3">
        <f t="shared" si="39"/>
        <v>30.24999999999984</v>
      </c>
      <c r="BJ365" s="1">
        <f t="shared" si="40"/>
        <v>47381.567410372947</v>
      </c>
      <c r="BK365" s="1">
        <f t="shared" si="41"/>
        <v>35267.900125393135</v>
      </c>
      <c r="BL365" s="26">
        <f t="shared" si="36"/>
        <v>1</v>
      </c>
      <c r="BM365" s="26">
        <f t="shared" si="42"/>
        <v>1</v>
      </c>
      <c r="BN365">
        <f t="shared" si="37"/>
        <v>999</v>
      </c>
      <c r="BO365">
        <f t="shared" si="38"/>
        <v>999</v>
      </c>
    </row>
    <row r="366" spans="61:67" x14ac:dyDescent="0.25">
      <c r="BI366" s="3">
        <f t="shared" si="39"/>
        <v>30.333333333333172</v>
      </c>
      <c r="BJ366" s="1">
        <f t="shared" si="40"/>
        <v>46675.944024825178</v>
      </c>
      <c r="BK366" s="1">
        <f t="shared" si="41"/>
        <v>34510.478363222297</v>
      </c>
      <c r="BL366" s="26">
        <f t="shared" si="36"/>
        <v>1</v>
      </c>
      <c r="BM366" s="26">
        <f t="shared" si="42"/>
        <v>1</v>
      </c>
      <c r="BN366">
        <f t="shared" si="37"/>
        <v>999</v>
      </c>
      <c r="BO366">
        <f t="shared" si="38"/>
        <v>999</v>
      </c>
    </row>
    <row r="367" spans="61:67" x14ac:dyDescent="0.25">
      <c r="BI367" s="3">
        <f t="shared" si="39"/>
        <v>30.416666666666504</v>
      </c>
      <c r="BJ367" s="1">
        <f t="shared" si="40"/>
        <v>45968.468377890349</v>
      </c>
      <c r="BK367" s="1">
        <f t="shared" si="41"/>
        <v>33751.068368925757</v>
      </c>
      <c r="BL367" s="26">
        <f t="shared" si="36"/>
        <v>1</v>
      </c>
      <c r="BM367" s="26">
        <f t="shared" si="42"/>
        <v>1</v>
      </c>
      <c r="BN367">
        <f t="shared" si="37"/>
        <v>999</v>
      </c>
      <c r="BO367">
        <f t="shared" si="38"/>
        <v>999</v>
      </c>
    </row>
    <row r="368" spans="61:67" x14ac:dyDescent="0.25">
      <c r="BI368" s="3">
        <f t="shared" si="39"/>
        <v>30.499999999999837</v>
      </c>
      <c r="BJ368" s="1">
        <f t="shared" si="40"/>
        <v>45259.135607382319</v>
      </c>
      <c r="BK368" s="1">
        <f t="shared" si="41"/>
        <v>32989.664923394193</v>
      </c>
      <c r="BL368" s="26">
        <f t="shared" si="36"/>
        <v>1</v>
      </c>
      <c r="BM368" s="26">
        <f t="shared" si="42"/>
        <v>1</v>
      </c>
      <c r="BN368">
        <f t="shared" si="37"/>
        <v>999</v>
      </c>
      <c r="BO368">
        <f t="shared" si="38"/>
        <v>999</v>
      </c>
    </row>
    <row r="369" spans="61:67" x14ac:dyDescent="0.25">
      <c r="BI369" s="3">
        <f t="shared" si="39"/>
        <v>30.583333333333169</v>
      </c>
      <c r="BJ369" s="1">
        <f t="shared" si="40"/>
        <v>44547.9408383517</v>
      </c>
      <c r="BK369" s="1">
        <f t="shared" si="41"/>
        <v>32226.262793818103</v>
      </c>
      <c r="BL369" s="26">
        <f t="shared" si="36"/>
        <v>1</v>
      </c>
      <c r="BM369" s="26">
        <f t="shared" si="42"/>
        <v>1</v>
      </c>
      <c r="BN369">
        <f t="shared" si="37"/>
        <v>999</v>
      </c>
      <c r="BO369">
        <f t="shared" si="38"/>
        <v>999</v>
      </c>
    </row>
    <row r="370" spans="61:67" x14ac:dyDescent="0.25">
      <c r="BI370" s="3">
        <f t="shared" si="39"/>
        <v>30.666666666666501</v>
      </c>
      <c r="BJ370" s="1">
        <f t="shared" si="40"/>
        <v>43834.879183052377</v>
      </c>
      <c r="BK370" s="1">
        <f t="shared" si="41"/>
        <v>31460.856733651879</v>
      </c>
      <c r="BL370" s="26">
        <f t="shared" si="36"/>
        <v>1</v>
      </c>
      <c r="BM370" s="26">
        <f t="shared" si="42"/>
        <v>1</v>
      </c>
      <c r="BN370">
        <f t="shared" si="37"/>
        <v>999</v>
      </c>
      <c r="BO370">
        <f t="shared" si="38"/>
        <v>999</v>
      </c>
    </row>
    <row r="371" spans="61:67" x14ac:dyDescent="0.25">
      <c r="BI371" s="3">
        <f t="shared" si="39"/>
        <v>30.749999999999833</v>
      </c>
      <c r="BJ371" s="1">
        <f t="shared" si="40"/>
        <v>43119.945740907897</v>
      </c>
      <c r="BK371" s="1">
        <f t="shared" si="41"/>
        <v>30693.441482577717</v>
      </c>
      <c r="BL371" s="26">
        <f t="shared" si="36"/>
        <v>1</v>
      </c>
      <c r="BM371" s="26">
        <f t="shared" si="42"/>
        <v>1</v>
      </c>
      <c r="BN371">
        <f t="shared" si="37"/>
        <v>999</v>
      </c>
      <c r="BO371">
        <f t="shared" si="38"/>
        <v>999</v>
      </c>
    </row>
    <row r="372" spans="61:67" x14ac:dyDescent="0.25">
      <c r="BI372" s="3">
        <f t="shared" si="39"/>
        <v>30.833333333333165</v>
      </c>
      <c r="BJ372" s="1">
        <f t="shared" si="40"/>
        <v>42403.135598477784</v>
      </c>
      <c r="BK372" s="1">
        <f t="shared" si="41"/>
        <v>29924.011766469484</v>
      </c>
      <c r="BL372" s="26">
        <f t="shared" si="36"/>
        <v>1</v>
      </c>
      <c r="BM372" s="26">
        <f t="shared" si="42"/>
        <v>1</v>
      </c>
      <c r="BN372">
        <f t="shared" si="37"/>
        <v>999</v>
      </c>
      <c r="BO372">
        <f t="shared" si="38"/>
        <v>999</v>
      </c>
    </row>
    <row r="373" spans="61:67" x14ac:dyDescent="0.25">
      <c r="BI373" s="3">
        <f t="shared" si="39"/>
        <v>30.916666666666497</v>
      </c>
      <c r="BJ373" s="1">
        <f t="shared" si="40"/>
        <v>41684.443829423792</v>
      </c>
      <c r="BK373" s="1">
        <f t="shared" si="41"/>
        <v>29152.562297356471</v>
      </c>
      <c r="BL373" s="26">
        <f t="shared" si="36"/>
        <v>1</v>
      </c>
      <c r="BM373" s="26">
        <f t="shared" si="42"/>
        <v>1</v>
      </c>
      <c r="BN373">
        <f t="shared" si="37"/>
        <v>999</v>
      </c>
      <c r="BO373">
        <f t="shared" si="38"/>
        <v>999</v>
      </c>
    </row>
    <row r="374" spans="61:67" x14ac:dyDescent="0.25">
      <c r="BI374" s="3">
        <f t="shared" si="39"/>
        <v>30.999999999999829</v>
      </c>
      <c r="BJ374" s="1">
        <f t="shared" si="40"/>
        <v>40963.865494476035</v>
      </c>
      <c r="BK374" s="1">
        <f t="shared" si="41"/>
        <v>28379.087773387037</v>
      </c>
      <c r="BL374" s="26">
        <f t="shared" si="36"/>
        <v>1</v>
      </c>
      <c r="BM374" s="26">
        <f t="shared" si="42"/>
        <v>1</v>
      </c>
      <c r="BN374">
        <f t="shared" si="37"/>
        <v>999</v>
      </c>
      <c r="BO374">
        <f t="shared" si="38"/>
        <v>999</v>
      </c>
    </row>
    <row r="375" spans="61:67" x14ac:dyDescent="0.25">
      <c r="BI375" s="3">
        <f t="shared" si="39"/>
        <v>31.083333333333162</v>
      </c>
      <c r="BJ375" s="1">
        <f t="shared" si="40"/>
        <v>40241.395641399038</v>
      </c>
      <c r="BK375" s="1">
        <f t="shared" si="41"/>
        <v>27603.582878792182</v>
      </c>
      <c r="BL375" s="26">
        <f t="shared" si="36"/>
        <v>1</v>
      </c>
      <c r="BM375" s="26">
        <f t="shared" si="42"/>
        <v>1</v>
      </c>
      <c r="BN375">
        <f t="shared" si="37"/>
        <v>999</v>
      </c>
      <c r="BO375">
        <f t="shared" si="38"/>
        <v>999</v>
      </c>
    </row>
    <row r="376" spans="61:67" x14ac:dyDescent="0.25">
      <c r="BI376" s="3">
        <f t="shared" si="39"/>
        <v>31.166666666666494</v>
      </c>
      <c r="BJ376" s="1">
        <f t="shared" si="40"/>
        <v>39517.029304957716</v>
      </c>
      <c r="BK376" s="1">
        <f t="shared" si="41"/>
        <v>26826.042283849016</v>
      </c>
      <c r="BL376" s="26">
        <f t="shared" si="36"/>
        <v>1</v>
      </c>
      <c r="BM376" s="26">
        <f t="shared" si="42"/>
        <v>1</v>
      </c>
      <c r="BN376">
        <f t="shared" si="37"/>
        <v>999</v>
      </c>
      <c r="BO376">
        <f t="shared" si="38"/>
        <v>999</v>
      </c>
    </row>
    <row r="377" spans="61:67" x14ac:dyDescent="0.25">
      <c r="BI377" s="3">
        <f t="shared" si="39"/>
        <v>31.249999999999826</v>
      </c>
      <c r="BJ377" s="1">
        <f t="shared" si="40"/>
        <v>38790.761506883231</v>
      </c>
      <c r="BK377" s="1">
        <f t="shared" si="41"/>
        <v>26046.460644844123</v>
      </c>
      <c r="BL377" s="26">
        <f t="shared" si="36"/>
        <v>1</v>
      </c>
      <c r="BM377" s="26">
        <f t="shared" si="42"/>
        <v>1</v>
      </c>
      <c r="BN377">
        <f t="shared" si="37"/>
        <v>999</v>
      </c>
      <c r="BO377">
        <f t="shared" si="38"/>
        <v>999</v>
      </c>
    </row>
    <row r="378" spans="61:67" x14ac:dyDescent="0.25">
      <c r="BI378" s="3">
        <f t="shared" si="39"/>
        <v>31.333333333333158</v>
      </c>
      <c r="BJ378" s="1">
        <f t="shared" si="40"/>
        <v>38062.5872558388</v>
      </c>
      <c r="BK378" s="1">
        <f t="shared" si="41"/>
        <v>25264.832604036841</v>
      </c>
      <c r="BL378" s="26">
        <f t="shared" si="36"/>
        <v>1</v>
      </c>
      <c r="BM378" s="26">
        <f t="shared" si="42"/>
        <v>1</v>
      </c>
      <c r="BN378">
        <f t="shared" si="37"/>
        <v>999</v>
      </c>
      <c r="BO378">
        <f t="shared" si="38"/>
        <v>999</v>
      </c>
    </row>
    <row r="379" spans="61:67" x14ac:dyDescent="0.25">
      <c r="BI379" s="3">
        <f t="shared" si="39"/>
        <v>31.41666666666649</v>
      </c>
      <c r="BJ379" s="1">
        <f t="shared" si="40"/>
        <v>37332.501547385378</v>
      </c>
      <c r="BK379" s="1">
        <f t="shared" si="41"/>
        <v>24481.15278962244</v>
      </c>
      <c r="BL379" s="26">
        <f t="shared" si="36"/>
        <v>1</v>
      </c>
      <c r="BM379" s="26">
        <f t="shared" si="42"/>
        <v>1</v>
      </c>
      <c r="BN379">
        <f t="shared" si="37"/>
        <v>999</v>
      </c>
      <c r="BO379">
        <f t="shared" si="38"/>
        <v>999</v>
      </c>
    </row>
    <row r="380" spans="61:67" x14ac:dyDescent="0.25">
      <c r="BI380" s="3">
        <f t="shared" si="39"/>
        <v>31.499999999999822</v>
      </c>
      <c r="BJ380" s="1">
        <f t="shared" si="40"/>
        <v>36600.499363947267</v>
      </c>
      <c r="BK380" s="1">
        <f t="shared" si="41"/>
        <v>23695.4158156952</v>
      </c>
      <c r="BL380" s="26">
        <f t="shared" si="36"/>
        <v>1</v>
      </c>
      <c r="BM380" s="26">
        <f t="shared" si="42"/>
        <v>1</v>
      </c>
      <c r="BN380">
        <f t="shared" si="37"/>
        <v>999</v>
      </c>
      <c r="BO380">
        <f t="shared" si="38"/>
        <v>999</v>
      </c>
    </row>
    <row r="381" spans="61:67" x14ac:dyDescent="0.25">
      <c r="BI381" s="3">
        <f t="shared" si="39"/>
        <v>31.583333333333155</v>
      </c>
      <c r="BJ381" s="1">
        <f t="shared" si="40"/>
        <v>35866.575674777632</v>
      </c>
      <c r="BK381" s="1">
        <f t="shared" si="41"/>
        <v>22907.616282211402</v>
      </c>
      <c r="BL381" s="26">
        <f t="shared" si="36"/>
        <v>1</v>
      </c>
      <c r="BM381" s="26">
        <f t="shared" si="42"/>
        <v>1</v>
      </c>
      <c r="BN381">
        <f t="shared" si="37"/>
        <v>999</v>
      </c>
      <c r="BO381">
        <f t="shared" si="38"/>
        <v>999</v>
      </c>
    </row>
    <row r="382" spans="61:67" x14ac:dyDescent="0.25">
      <c r="BI382" s="3">
        <f t="shared" si="39"/>
        <v>31.666666666666487</v>
      </c>
      <c r="BJ382" s="1">
        <f t="shared" si="40"/>
        <v>35130.72543592393</v>
      </c>
      <c r="BK382" s="1">
        <f t="shared" si="41"/>
        <v>22117.748774952208</v>
      </c>
      <c r="BL382" s="26">
        <f t="shared" si="36"/>
        <v>1</v>
      </c>
      <c r="BM382" s="26">
        <f t="shared" si="42"/>
        <v>1</v>
      </c>
      <c r="BN382">
        <f t="shared" si="37"/>
        <v>999</v>
      </c>
      <c r="BO382">
        <f t="shared" si="38"/>
        <v>999</v>
      </c>
    </row>
    <row r="383" spans="61:67" x14ac:dyDescent="0.25">
      <c r="BI383" s="3">
        <f t="shared" si="39"/>
        <v>31.749999999999819</v>
      </c>
      <c r="BJ383" s="1">
        <f t="shared" si="40"/>
        <v>34392.943590193237</v>
      </c>
      <c r="BK383" s="1">
        <f t="shared" si="41"/>
        <v>21325.807865486458</v>
      </c>
      <c r="BL383" s="26">
        <f t="shared" si="36"/>
        <v>1</v>
      </c>
      <c r="BM383" s="26">
        <f t="shared" si="42"/>
        <v>1</v>
      </c>
      <c r="BN383">
        <f t="shared" si="37"/>
        <v>999</v>
      </c>
      <c r="BO383">
        <f t="shared" si="38"/>
        <v>999</v>
      </c>
    </row>
    <row r="384" spans="61:67" x14ac:dyDescent="0.25">
      <c r="BI384" s="3">
        <f t="shared" si="39"/>
        <v>31.833333333333151</v>
      </c>
      <c r="BJ384" s="1">
        <f t="shared" si="40"/>
        <v>33653.225067117499</v>
      </c>
      <c r="BK384" s="1">
        <f t="shared" si="41"/>
        <v>20531.788111133363</v>
      </c>
      <c r="BL384" s="26">
        <f t="shared" si="36"/>
        <v>1</v>
      </c>
      <c r="BM384" s="26">
        <f t="shared" si="42"/>
        <v>1</v>
      </c>
      <c r="BN384">
        <f t="shared" si="37"/>
        <v>999</v>
      </c>
      <c r="BO384">
        <f t="shared" si="38"/>
        <v>999</v>
      </c>
    </row>
    <row r="385" spans="61:67" x14ac:dyDescent="0.25">
      <c r="BI385" s="3">
        <f t="shared" si="39"/>
        <v>31.916666666666483</v>
      </c>
      <c r="BJ385" s="1">
        <f t="shared" si="40"/>
        <v>32911.564782918686</v>
      </c>
      <c r="BK385" s="1">
        <f t="shared" si="41"/>
        <v>19735.684054925088</v>
      </c>
      <c r="BL385" s="26">
        <f t="shared" si="36"/>
        <v>1</v>
      </c>
      <c r="BM385" s="26">
        <f t="shared" si="42"/>
        <v>1</v>
      </c>
      <c r="BN385">
        <f t="shared" si="37"/>
        <v>999</v>
      </c>
      <c r="BO385">
        <f t="shared" si="38"/>
        <v>999</v>
      </c>
    </row>
    <row r="386" spans="61:67" x14ac:dyDescent="0.25">
      <c r="BI386" s="3">
        <f t="shared" si="39"/>
        <v>31.999999999999815</v>
      </c>
      <c r="BJ386" s="1">
        <f t="shared" si="40"/>
        <v>32167.957640473847</v>
      </c>
      <c r="BK386" s="1">
        <f t="shared" si="41"/>
        <v>18937.490225569269</v>
      </c>
      <c r="BL386" s="26">
        <f t="shared" ref="BL386:BL449" si="43">IF(BI386&gt;$G$12,0,1)</f>
        <v>1</v>
      </c>
      <c r="BM386" s="26">
        <f t="shared" si="42"/>
        <v>1</v>
      </c>
      <c r="BN386">
        <f t="shared" ref="BN386:BN449" si="44">IF(BK386&lt;0,BI386,999)</f>
        <v>999</v>
      </c>
      <c r="BO386">
        <f t="shared" ref="BO386:BO449" si="45">IF(BJ386&lt;0,BI386,999)</f>
        <v>999</v>
      </c>
    </row>
    <row r="387" spans="61:67" x14ac:dyDescent="0.25">
      <c r="BI387" s="3">
        <f t="shared" ref="BI387:BI450" si="46">BI386+1/12</f>
        <v>32.083333333333151</v>
      </c>
      <c r="BJ387" s="1">
        <f t="shared" ref="BJ387:BJ450" si="47">BJ386*(1+$C$4/12) - $C$3</f>
        <v>31422.398529280093</v>
      </c>
      <c r="BK387" s="1">
        <f t="shared" si="41"/>
        <v>18137.20113741139</v>
      </c>
      <c r="BL387" s="26">
        <f t="shared" si="43"/>
        <v>1</v>
      </c>
      <c r="BM387" s="26">
        <f t="shared" si="42"/>
        <v>1</v>
      </c>
      <c r="BN387">
        <f t="shared" si="44"/>
        <v>999</v>
      </c>
      <c r="BO387">
        <f t="shared" si="45"/>
        <v>999</v>
      </c>
    </row>
    <row r="388" spans="61:67" x14ac:dyDescent="0.25">
      <c r="BI388" s="3">
        <f t="shared" si="46"/>
        <v>32.166666666666487</v>
      </c>
      <c r="BJ388" s="1">
        <f t="shared" si="47"/>
        <v>30674.882325419458</v>
      </c>
      <c r="BK388" s="1">
        <f t="shared" ref="BK388:BK451" si="48">BK387*(1+$D$4/12)-$C$3-($D$3-$C$3)*BL388</f>
        <v>17334.811290397098</v>
      </c>
      <c r="BL388" s="26">
        <f t="shared" si="43"/>
        <v>1</v>
      </c>
      <c r="BM388" s="26">
        <f t="shared" si="42"/>
        <v>1</v>
      </c>
      <c r="BN388">
        <f t="shared" si="44"/>
        <v>999</v>
      </c>
      <c r="BO388">
        <f t="shared" si="45"/>
        <v>999</v>
      </c>
    </row>
    <row r="389" spans="61:67" x14ac:dyDescent="0.25">
      <c r="BI389" s="3">
        <f t="shared" si="46"/>
        <v>32.249999999999822</v>
      </c>
      <c r="BJ389" s="1">
        <f t="shared" si="47"/>
        <v>29925.403891523685</v>
      </c>
      <c r="BK389" s="1">
        <f t="shared" si="48"/>
        <v>16530.315170034391</v>
      </c>
      <c r="BL389" s="26">
        <f t="shared" si="43"/>
        <v>1</v>
      </c>
      <c r="BM389" s="26">
        <f t="shared" si="42"/>
        <v>1</v>
      </c>
      <c r="BN389">
        <f t="shared" si="44"/>
        <v>999</v>
      </c>
      <c r="BO389">
        <f t="shared" si="45"/>
        <v>999</v>
      </c>
    </row>
    <row r="390" spans="61:67" x14ac:dyDescent="0.25">
      <c r="BI390" s="3">
        <f t="shared" si="46"/>
        <v>32.333333333333158</v>
      </c>
      <c r="BJ390" s="1">
        <f t="shared" si="47"/>
        <v>29173.958076738938</v>
      </c>
      <c r="BK390" s="1">
        <f t="shared" si="48"/>
        <v>15723.707247355735</v>
      </c>
      <c r="BL390" s="26">
        <f t="shared" si="43"/>
        <v>1</v>
      </c>
      <c r="BM390" s="26">
        <f t="shared" si="42"/>
        <v>1</v>
      </c>
      <c r="BN390">
        <f t="shared" si="44"/>
        <v>999</v>
      </c>
      <c r="BO390">
        <f t="shared" si="45"/>
        <v>999</v>
      </c>
    </row>
    <row r="391" spans="61:67" x14ac:dyDescent="0.25">
      <c r="BI391" s="3">
        <f t="shared" si="46"/>
        <v>32.416666666666494</v>
      </c>
      <c r="BJ391" s="1">
        <f t="shared" si="47"/>
        <v>28420.539716690382</v>
      </c>
      <c r="BK391" s="1">
        <f t="shared" si="48"/>
        <v>14914.981978880045</v>
      </c>
      <c r="BL391" s="26">
        <f t="shared" si="43"/>
        <v>1</v>
      </c>
      <c r="BM391" s="26">
        <f t="shared" si="42"/>
        <v>1</v>
      </c>
      <c r="BN391">
        <f t="shared" si="44"/>
        <v>999</v>
      </c>
      <c r="BO391">
        <f t="shared" si="45"/>
        <v>999</v>
      </c>
    </row>
    <row r="392" spans="61:67" x14ac:dyDescent="0.25">
      <c r="BI392" s="3">
        <f t="shared" si="46"/>
        <v>32.499999999999829</v>
      </c>
      <c r="BJ392" s="1">
        <f t="shared" si="47"/>
        <v>27665.143633446696</v>
      </c>
      <c r="BK392" s="1">
        <f t="shared" si="48"/>
        <v>14104.133806574606</v>
      </c>
      <c r="BL392" s="26">
        <f t="shared" si="43"/>
        <v>1</v>
      </c>
      <c r="BM392" s="26">
        <f t="shared" si="42"/>
        <v>1</v>
      </c>
      <c r="BN392">
        <f t="shared" si="44"/>
        <v>999</v>
      </c>
      <c r="BO392">
        <f t="shared" si="45"/>
        <v>999</v>
      </c>
    </row>
    <row r="393" spans="61:67" x14ac:dyDescent="0.25">
      <c r="BI393" s="3">
        <f t="shared" si="46"/>
        <v>32.583333333333165</v>
      </c>
      <c r="BJ393" s="1">
        <f t="shared" si="47"/>
        <v>26907.764635484498</v>
      </c>
      <c r="BK393" s="1">
        <f t="shared" si="48"/>
        <v>13291.157157816866</v>
      </c>
      <c r="BL393" s="26">
        <f t="shared" si="43"/>
        <v>1</v>
      </c>
      <c r="BM393" s="26">
        <f t="shared" si="42"/>
        <v>1</v>
      </c>
      <c r="BN393">
        <f t="shared" si="44"/>
        <v>999</v>
      </c>
      <c r="BO393">
        <f t="shared" si="45"/>
        <v>999</v>
      </c>
    </row>
    <row r="394" spans="61:67" x14ac:dyDescent="0.25">
      <c r="BI394" s="3">
        <f t="shared" si="46"/>
        <v>32.666666666666501</v>
      </c>
      <c r="BJ394" s="1">
        <f t="shared" si="47"/>
        <v>26148.397517652647</v>
      </c>
      <c r="BK394" s="1">
        <f t="shared" si="48"/>
        <v>12476.046445356136</v>
      </c>
      <c r="BL394" s="26">
        <f t="shared" si="43"/>
        <v>1</v>
      </c>
      <c r="BM394" s="26">
        <f t="shared" si="42"/>
        <v>1</v>
      </c>
      <c r="BN394">
        <f t="shared" si="44"/>
        <v>999</v>
      </c>
      <c r="BO394">
        <f t="shared" si="45"/>
        <v>999</v>
      </c>
    </row>
    <row r="395" spans="61:67" x14ac:dyDescent="0.25">
      <c r="BI395" s="3">
        <f t="shared" si="46"/>
        <v>32.749999999999837</v>
      </c>
      <c r="BJ395" s="1">
        <f t="shared" si="47"/>
        <v>25387.037061136489</v>
      </c>
      <c r="BK395" s="1">
        <f t="shared" si="48"/>
        <v>11658.796067275198</v>
      </c>
      <c r="BL395" s="26">
        <f t="shared" si="43"/>
        <v>1</v>
      </c>
      <c r="BM395" s="26">
        <f t="shared" si="42"/>
        <v>1</v>
      </c>
      <c r="BN395">
        <f t="shared" si="44"/>
        <v>999</v>
      </c>
      <c r="BO395">
        <f t="shared" si="45"/>
        <v>999</v>
      </c>
    </row>
    <row r="396" spans="61:67" x14ac:dyDescent="0.25">
      <c r="BI396" s="3">
        <f t="shared" si="46"/>
        <v>32.833333333333172</v>
      </c>
      <c r="BJ396" s="1">
        <f t="shared" si="47"/>
        <v>24623.678033421973</v>
      </c>
      <c r="BK396" s="1">
        <f t="shared" si="48"/>
        <v>10839.400406951796</v>
      </c>
      <c r="BL396" s="26">
        <f t="shared" si="43"/>
        <v>1</v>
      </c>
      <c r="BM396" s="26">
        <f t="shared" si="42"/>
        <v>1</v>
      </c>
      <c r="BN396">
        <f t="shared" si="44"/>
        <v>999</v>
      </c>
      <c r="BO396">
        <f t="shared" si="45"/>
        <v>999</v>
      </c>
    </row>
    <row r="397" spans="61:67" x14ac:dyDescent="0.25">
      <c r="BI397" s="3">
        <f t="shared" si="46"/>
        <v>32.916666666666508</v>
      </c>
      <c r="BJ397" s="1">
        <f t="shared" si="47"/>
        <v>23858.315188259709</v>
      </c>
      <c r="BK397" s="1">
        <f t="shared" si="48"/>
        <v>10017.853833020046</v>
      </c>
      <c r="BL397" s="26">
        <f t="shared" si="43"/>
        <v>1</v>
      </c>
      <c r="BM397" s="26">
        <f t="shared" si="42"/>
        <v>1</v>
      </c>
      <c r="BN397">
        <f t="shared" si="44"/>
        <v>999</v>
      </c>
      <c r="BO397">
        <f t="shared" si="45"/>
        <v>999</v>
      </c>
    </row>
    <row r="398" spans="61:67" x14ac:dyDescent="0.25">
      <c r="BI398" s="3">
        <f t="shared" si="46"/>
        <v>32.999999999999844</v>
      </c>
      <c r="BJ398" s="1">
        <f t="shared" si="47"/>
        <v>23090.943265628892</v>
      </c>
      <c r="BK398" s="1">
        <f t="shared" si="48"/>
        <v>9194.1506993317253</v>
      </c>
      <c r="BL398" s="26">
        <f t="shared" si="43"/>
        <v>1</v>
      </c>
      <c r="BM398" s="26">
        <f t="shared" si="42"/>
        <v>1</v>
      </c>
      <c r="BN398">
        <f t="shared" si="44"/>
        <v>999</v>
      </c>
      <c r="BO398">
        <f t="shared" si="45"/>
        <v>999</v>
      </c>
    </row>
    <row r="399" spans="61:67" x14ac:dyDescent="0.25">
      <c r="BI399" s="3">
        <f t="shared" si="46"/>
        <v>33.083333333333179</v>
      </c>
      <c r="BJ399" s="1">
        <f t="shared" si="47"/>
        <v>22321.556991701171</v>
      </c>
      <c r="BK399" s="1">
        <f t="shared" si="48"/>
        <v>8368.2853449174727</v>
      </c>
      <c r="BL399" s="26">
        <f t="shared" si="43"/>
        <v>1</v>
      </c>
      <c r="BM399" s="26">
        <f t="shared" si="42"/>
        <v>1</v>
      </c>
      <c r="BN399">
        <f t="shared" si="44"/>
        <v>999</v>
      </c>
      <c r="BO399">
        <f t="shared" si="45"/>
        <v>999</v>
      </c>
    </row>
    <row r="400" spans="61:67" x14ac:dyDescent="0.25">
      <c r="BI400" s="3">
        <f t="shared" si="46"/>
        <v>33.166666666666515</v>
      </c>
      <c r="BJ400" s="1">
        <f t="shared" si="47"/>
        <v>21550.151078804389</v>
      </c>
      <c r="BK400" s="1">
        <f t="shared" si="48"/>
        <v>7540.2520939478818</v>
      </c>
      <c r="BL400" s="26">
        <f t="shared" si="43"/>
        <v>1</v>
      </c>
      <c r="BM400" s="26">
        <f t="shared" si="42"/>
        <v>1</v>
      </c>
      <c r="BN400">
        <f t="shared" si="44"/>
        <v>999</v>
      </c>
      <c r="BO400">
        <f t="shared" si="45"/>
        <v>999</v>
      </c>
    </row>
    <row r="401" spans="61:67" x14ac:dyDescent="0.25">
      <c r="BI401" s="3">
        <f t="shared" si="46"/>
        <v>33.249999999999851</v>
      </c>
      <c r="BJ401" s="1">
        <f t="shared" si="47"/>
        <v>20776.720225386252</v>
      </c>
      <c r="BK401" s="1">
        <f t="shared" si="48"/>
        <v>6710.0452556944956</v>
      </c>
      <c r="BL401" s="26">
        <f t="shared" si="43"/>
        <v>1</v>
      </c>
      <c r="BM401" s="26">
        <f t="shared" si="42"/>
        <v>1</v>
      </c>
      <c r="BN401">
        <f t="shared" si="44"/>
        <v>999</v>
      </c>
      <c r="BO401">
        <f t="shared" si="45"/>
        <v>999</v>
      </c>
    </row>
    <row r="402" spans="61:67" x14ac:dyDescent="0.25">
      <c r="BI402" s="3">
        <f t="shared" si="46"/>
        <v>33.333333333333186</v>
      </c>
      <c r="BJ402" s="1">
        <f t="shared" si="47"/>
        <v>20001.259115977893</v>
      </c>
      <c r="BK402" s="1">
        <f t="shared" si="48"/>
        <v>5877.659124490694</v>
      </c>
      <c r="BL402" s="26">
        <f t="shared" si="43"/>
        <v>1</v>
      </c>
      <c r="BM402" s="26">
        <f t="shared" si="42"/>
        <v>1</v>
      </c>
      <c r="BN402">
        <f t="shared" si="44"/>
        <v>999</v>
      </c>
      <c r="BO402">
        <f t="shared" si="45"/>
        <v>999</v>
      </c>
    </row>
    <row r="403" spans="61:67" x14ac:dyDescent="0.25">
      <c r="BI403" s="3">
        <f t="shared" si="46"/>
        <v>33.416666666666522</v>
      </c>
      <c r="BJ403" s="1">
        <f t="shared" si="47"/>
        <v>19223.762421157338</v>
      </c>
      <c r="BK403" s="1">
        <f t="shared" si="48"/>
        <v>5043.0879796924828</v>
      </c>
      <c r="BL403" s="26">
        <f t="shared" si="43"/>
        <v>1</v>
      </c>
      <c r="BM403" s="26">
        <f t="shared" si="42"/>
        <v>1</v>
      </c>
      <c r="BN403">
        <f t="shared" si="44"/>
        <v>999</v>
      </c>
      <c r="BO403">
        <f t="shared" si="45"/>
        <v>999</v>
      </c>
    </row>
    <row r="404" spans="61:67" x14ac:dyDescent="0.25">
      <c r="BI404" s="3">
        <f t="shared" si="46"/>
        <v>33.499999999999858</v>
      </c>
      <c r="BJ404" s="1">
        <f t="shared" si="47"/>
        <v>18444.224797512878</v>
      </c>
      <c r="BK404" s="1">
        <f t="shared" si="48"/>
        <v>4206.3260856391762</v>
      </c>
      <c r="BL404" s="26">
        <f t="shared" si="43"/>
        <v>1</v>
      </c>
      <c r="BM404" s="26">
        <f t="shared" si="42"/>
        <v>1</v>
      </c>
      <c r="BN404">
        <f t="shared" si="44"/>
        <v>999</v>
      </c>
      <c r="BO404">
        <f t="shared" si="45"/>
        <v>999</v>
      </c>
    </row>
    <row r="405" spans="61:67" x14ac:dyDescent="0.25">
      <c r="BI405" s="3">
        <f t="shared" si="46"/>
        <v>33.583333333333194</v>
      </c>
      <c r="BJ405" s="1">
        <f t="shared" si="47"/>
        <v>17662.640887606351</v>
      </c>
      <c r="BK405" s="1">
        <f t="shared" si="48"/>
        <v>3367.3676916139793</v>
      </c>
      <c r="BL405" s="26">
        <f t="shared" si="43"/>
        <v>1</v>
      </c>
      <c r="BM405" s="26">
        <f t="shared" si="42"/>
        <v>1</v>
      </c>
      <c r="BN405">
        <f t="shared" si="44"/>
        <v>999</v>
      </c>
      <c r="BO405">
        <f t="shared" si="45"/>
        <v>999</v>
      </c>
    </row>
    <row r="406" spans="61:67" x14ac:dyDescent="0.25">
      <c r="BI406" s="3">
        <f t="shared" si="46"/>
        <v>33.666666666666529</v>
      </c>
      <c r="BJ406" s="1">
        <f t="shared" si="47"/>
        <v>16879.005319936317</v>
      </c>
      <c r="BK406" s="1">
        <f t="shared" si="48"/>
        <v>2526.2070318044662</v>
      </c>
      <c r="BL406" s="26">
        <f t="shared" si="43"/>
        <v>1</v>
      </c>
      <c r="BM406" s="26">
        <f t="shared" si="42"/>
        <v>1</v>
      </c>
      <c r="BN406">
        <f t="shared" si="44"/>
        <v>999</v>
      </c>
      <c r="BO406">
        <f t="shared" si="45"/>
        <v>999</v>
      </c>
    </row>
    <row r="407" spans="61:67" x14ac:dyDescent="0.25">
      <c r="BI407" s="3">
        <f t="shared" si="46"/>
        <v>33.749999999999865</v>
      </c>
      <c r="BJ407" s="1">
        <f t="shared" si="47"/>
        <v>16093.31270890115</v>
      </c>
      <c r="BK407" s="1">
        <f t="shared" si="48"/>
        <v>1682.8383252629533</v>
      </c>
      <c r="BL407" s="26">
        <f t="shared" si="43"/>
        <v>1</v>
      </c>
      <c r="BM407" s="26">
        <f t="shared" si="42"/>
        <v>1</v>
      </c>
      <c r="BN407">
        <f t="shared" si="44"/>
        <v>999</v>
      </c>
      <c r="BO407">
        <f t="shared" si="45"/>
        <v>999</v>
      </c>
    </row>
    <row r="408" spans="61:67" x14ac:dyDescent="0.25">
      <c r="BI408" s="3">
        <f t="shared" si="46"/>
        <v>33.833333333333201</v>
      </c>
      <c r="BJ408" s="1">
        <f t="shared" si="47"/>
        <v>15305.557654762019</v>
      </c>
      <c r="BK408" s="1">
        <f t="shared" si="48"/>
        <v>837.25577586676877</v>
      </c>
      <c r="BL408" s="26">
        <f t="shared" si="43"/>
        <v>1</v>
      </c>
      <c r="BM408" s="26">
        <f t="shared" si="42"/>
        <v>1</v>
      </c>
      <c r="BN408">
        <f t="shared" si="44"/>
        <v>999</v>
      </c>
      <c r="BO408">
        <f t="shared" si="45"/>
        <v>999</v>
      </c>
    </row>
    <row r="409" spans="61:67" x14ac:dyDescent="0.25">
      <c r="BI409" s="3">
        <f t="shared" si="46"/>
        <v>33.916666666666536</v>
      </c>
      <c r="BJ409" s="1">
        <f t="shared" si="47"/>
        <v>14515.73474360577</v>
      </c>
      <c r="BK409" s="1">
        <f t="shared" si="48"/>
        <v>-10.546427721580926</v>
      </c>
      <c r="BL409" s="26">
        <f t="shared" si="43"/>
        <v>1</v>
      </c>
      <c r="BM409" s="26">
        <f t="shared" si="42"/>
        <v>0</v>
      </c>
      <c r="BN409">
        <f t="shared" si="44"/>
        <v>33.916666666666536</v>
      </c>
      <c r="BO409">
        <f t="shared" si="45"/>
        <v>999</v>
      </c>
    </row>
    <row r="410" spans="61:67" x14ac:dyDescent="0.25">
      <c r="BI410" s="3">
        <f t="shared" si="46"/>
        <v>33.999999999999872</v>
      </c>
      <c r="BJ410" s="1">
        <f t="shared" si="47"/>
        <v>13723.838547307736</v>
      </c>
      <c r="BK410" s="1">
        <f t="shared" si="48"/>
        <v>-860.57411209435008</v>
      </c>
      <c r="BL410" s="26">
        <f t="shared" si="43"/>
        <v>1</v>
      </c>
      <c r="BM410" s="26">
        <f t="shared" si="42"/>
        <v>0</v>
      </c>
      <c r="BN410">
        <f t="shared" si="44"/>
        <v>33.999999999999872</v>
      </c>
      <c r="BO410">
        <f t="shared" si="45"/>
        <v>999</v>
      </c>
    </row>
    <row r="411" spans="61:67" x14ac:dyDescent="0.25">
      <c r="BI411" s="3">
        <f t="shared" si="46"/>
        <v>34.083333333333208</v>
      </c>
      <c r="BJ411" s="1">
        <f t="shared" si="47"/>
        <v>12929.863623494421</v>
      </c>
      <c r="BK411" s="1">
        <f t="shared" si="48"/>
        <v>-1712.8331191385978</v>
      </c>
      <c r="BL411" s="26">
        <f t="shared" si="43"/>
        <v>1</v>
      </c>
      <c r="BM411" s="26">
        <f t="shared" ref="BM411:BM474" si="49">IF(AND(BL411&gt;0,BK411&gt;0),1,0)</f>
        <v>0</v>
      </c>
      <c r="BN411">
        <f t="shared" si="44"/>
        <v>34.083333333333208</v>
      </c>
      <c r="BO411">
        <f t="shared" si="45"/>
        <v>999</v>
      </c>
    </row>
    <row r="412" spans="61:67" x14ac:dyDescent="0.25">
      <c r="BI412" s="3">
        <f t="shared" si="46"/>
        <v>34.166666666666544</v>
      </c>
      <c r="BJ412" s="1">
        <f t="shared" si="47"/>
        <v>12133.804515506095</v>
      </c>
      <c r="BK412" s="1">
        <f t="shared" si="48"/>
        <v>-2567.3293060763367</v>
      </c>
      <c r="BL412" s="26">
        <f t="shared" si="43"/>
        <v>1</v>
      </c>
      <c r="BM412" s="26">
        <f t="shared" si="49"/>
        <v>0</v>
      </c>
      <c r="BN412">
        <f t="shared" si="44"/>
        <v>34.166666666666544</v>
      </c>
      <c r="BO412">
        <f t="shared" si="45"/>
        <v>999</v>
      </c>
    </row>
    <row r="413" spans="61:67" x14ac:dyDescent="0.25">
      <c r="BI413" s="3">
        <f t="shared" si="46"/>
        <v>34.249999999999879</v>
      </c>
      <c r="BJ413" s="1">
        <f t="shared" si="47"/>
        <v>11335.6557523593</v>
      </c>
      <c r="BK413" s="1">
        <f t="shared" si="48"/>
        <v>-3424.0685455047874</v>
      </c>
      <c r="BL413" s="26">
        <f t="shared" si="43"/>
        <v>1</v>
      </c>
      <c r="BM413" s="26">
        <f t="shared" si="49"/>
        <v>0</v>
      </c>
      <c r="BN413">
        <f t="shared" si="44"/>
        <v>34.249999999999879</v>
      </c>
      <c r="BO413">
        <f t="shared" si="45"/>
        <v>999</v>
      </c>
    </row>
    <row r="414" spans="61:67" x14ac:dyDescent="0.25">
      <c r="BI414" s="3">
        <f t="shared" si="46"/>
        <v>34.333333333333215</v>
      </c>
      <c r="BJ414" s="1">
        <f t="shared" si="47"/>
        <v>10535.411848709244</v>
      </c>
      <c r="BK414" s="1">
        <f t="shared" si="48"/>
        <v>-4283.0567254367379</v>
      </c>
      <c r="BL414" s="26">
        <f t="shared" si="43"/>
        <v>1</v>
      </c>
      <c r="BM414" s="26">
        <f t="shared" si="49"/>
        <v>0</v>
      </c>
      <c r="BN414">
        <f t="shared" si="44"/>
        <v>34.333333333333215</v>
      </c>
      <c r="BO414">
        <f t="shared" si="45"/>
        <v>999</v>
      </c>
    </row>
    <row r="415" spans="61:67" x14ac:dyDescent="0.25">
      <c r="BI415" s="2">
        <f t="shared" si="46"/>
        <v>34.416666666666551</v>
      </c>
      <c r="BJ415" s="1">
        <f t="shared" si="47"/>
        <v>9733.0673048121062</v>
      </c>
      <c r="BK415" s="1">
        <f t="shared" si="48"/>
        <v>-5144.2997493410094</v>
      </c>
      <c r="BL415" s="26">
        <f t="shared" si="43"/>
        <v>1</v>
      </c>
      <c r="BM415" s="26">
        <f t="shared" si="49"/>
        <v>0</v>
      </c>
      <c r="BN415">
        <f t="shared" si="44"/>
        <v>34.416666666666551</v>
      </c>
      <c r="BO415">
        <f t="shared" si="45"/>
        <v>999</v>
      </c>
    </row>
    <row r="416" spans="61:67" x14ac:dyDescent="0.25">
      <c r="BI416" s="2">
        <f t="shared" si="46"/>
        <v>34.499999999999886</v>
      </c>
      <c r="BJ416" s="1">
        <f t="shared" si="47"/>
        <v>8928.6166064872396</v>
      </c>
      <c r="BK416" s="1">
        <f t="shared" si="48"/>
        <v>-6007.8035361830298</v>
      </c>
      <c r="BL416" s="26">
        <f t="shared" si="43"/>
        <v>1</v>
      </c>
      <c r="BM416" s="26">
        <f t="shared" si="49"/>
        <v>0</v>
      </c>
      <c r="BN416">
        <f t="shared" si="44"/>
        <v>34.499999999999886</v>
      </c>
      <c r="BO416">
        <f t="shared" si="45"/>
        <v>999</v>
      </c>
    </row>
    <row r="417" spans="61:67" x14ac:dyDescent="0.25">
      <c r="BI417" s="2">
        <f t="shared" si="46"/>
        <v>34.583333333333222</v>
      </c>
      <c r="BJ417" s="1">
        <f t="shared" si="47"/>
        <v>8122.0542250792696</v>
      </c>
      <c r="BK417" s="1">
        <f t="shared" si="48"/>
        <v>-6873.5740204655112</v>
      </c>
      <c r="BL417" s="26">
        <f t="shared" si="43"/>
        <v>1</v>
      </c>
      <c r="BM417" s="26">
        <f t="shared" si="49"/>
        <v>0</v>
      </c>
      <c r="BN417">
        <f t="shared" si="44"/>
        <v>34.583333333333222</v>
      </c>
      <c r="BO417">
        <f t="shared" si="45"/>
        <v>999</v>
      </c>
    </row>
    <row r="418" spans="61:67" x14ac:dyDescent="0.25">
      <c r="BI418" s="2">
        <f t="shared" si="46"/>
        <v>34.666666666666558</v>
      </c>
      <c r="BJ418" s="1">
        <f t="shared" si="47"/>
        <v>7313.3746174201033</v>
      </c>
      <c r="BK418" s="1">
        <f t="shared" si="48"/>
        <v>-7741.6171522692339</v>
      </c>
      <c r="BL418" s="26">
        <f t="shared" si="43"/>
        <v>1</v>
      </c>
      <c r="BM418" s="26">
        <f t="shared" si="49"/>
        <v>0</v>
      </c>
      <c r="BN418">
        <f t="shared" si="44"/>
        <v>34.666666666666558</v>
      </c>
      <c r="BO418">
        <f t="shared" si="45"/>
        <v>999</v>
      </c>
    </row>
    <row r="419" spans="61:67" x14ac:dyDescent="0.25">
      <c r="BI419" s="2">
        <f t="shared" si="46"/>
        <v>34.749999999999893</v>
      </c>
      <c r="BJ419" s="1">
        <f t="shared" si="47"/>
        <v>6502.5722257908319</v>
      </c>
      <c r="BK419" s="1">
        <f t="shared" si="48"/>
        <v>-8611.9388972939414</v>
      </c>
      <c r="BL419" s="26">
        <f t="shared" si="43"/>
        <v>1</v>
      </c>
      <c r="BM419" s="26">
        <f t="shared" si="49"/>
        <v>0</v>
      </c>
      <c r="BN419">
        <f t="shared" si="44"/>
        <v>34.749999999999893</v>
      </c>
      <c r="BO419">
        <f t="shared" si="45"/>
        <v>999</v>
      </c>
    </row>
    <row r="420" spans="61:67" x14ac:dyDescent="0.25">
      <c r="BI420" s="2">
        <f t="shared" si="46"/>
        <v>34.833333333333229</v>
      </c>
      <c r="BJ420" s="1">
        <f t="shared" si="47"/>
        <v>5689.6414778835333</v>
      </c>
      <c r="BK420" s="1">
        <f t="shared" si="48"/>
        <v>-9484.5452368993392</v>
      </c>
      <c r="BL420" s="26">
        <f t="shared" si="43"/>
        <v>1</v>
      </c>
      <c r="BM420" s="26">
        <f t="shared" si="49"/>
        <v>0</v>
      </c>
      <c r="BN420">
        <f t="shared" si="44"/>
        <v>34.833333333333229</v>
      </c>
      <c r="BO420">
        <f t="shared" si="45"/>
        <v>999</v>
      </c>
    </row>
    <row r="421" spans="61:67" x14ac:dyDescent="0.25">
      <c r="BI421" s="2">
        <f t="shared" si="46"/>
        <v>34.916666666666565</v>
      </c>
      <c r="BJ421" s="1">
        <f t="shared" si="47"/>
        <v>4874.5767867629784</v>
      </c>
      <c r="BK421" s="1">
        <f t="shared" si="48"/>
        <v>-10359.442168146201</v>
      </c>
      <c r="BL421" s="26">
        <f t="shared" si="43"/>
        <v>1</v>
      </c>
      <c r="BM421" s="26">
        <f t="shared" si="49"/>
        <v>0</v>
      </c>
      <c r="BN421">
        <f t="shared" si="44"/>
        <v>34.916666666666565</v>
      </c>
      <c r="BO421">
        <f t="shared" si="45"/>
        <v>999</v>
      </c>
    </row>
    <row r="422" spans="61:67" x14ac:dyDescent="0.25">
      <c r="BI422" s="2">
        <f t="shared" si="46"/>
        <v>34.999999999999901</v>
      </c>
      <c r="BJ422" s="1">
        <f t="shared" si="47"/>
        <v>4057.3725508282314</v>
      </c>
      <c r="BK422" s="1">
        <f t="shared" si="48"/>
        <v>-11236.635703837586</v>
      </c>
      <c r="BL422" s="26">
        <f t="shared" si="43"/>
        <v>1</v>
      </c>
      <c r="BM422" s="26">
        <f t="shared" si="49"/>
        <v>0</v>
      </c>
      <c r="BN422">
        <f t="shared" si="44"/>
        <v>34.999999999999901</v>
      </c>
      <c r="BO422">
        <f t="shared" si="45"/>
        <v>999</v>
      </c>
    </row>
    <row r="423" spans="61:67" x14ac:dyDescent="0.25">
      <c r="BI423" s="2">
        <f t="shared" si="46"/>
        <v>35.083333333333236</v>
      </c>
      <c r="BJ423" s="1">
        <f t="shared" si="47"/>
        <v>3238.0231537741561</v>
      </c>
      <c r="BK423" s="1">
        <f t="shared" si="48"/>
        <v>-12116.131872560161</v>
      </c>
      <c r="BL423" s="26">
        <f t="shared" si="43"/>
        <v>1</v>
      </c>
      <c r="BM423" s="26">
        <f t="shared" si="49"/>
        <v>0</v>
      </c>
      <c r="BN423">
        <f t="shared" si="44"/>
        <v>35.083333333333236</v>
      </c>
      <c r="BO423">
        <f t="shared" si="45"/>
        <v>999</v>
      </c>
    </row>
    <row r="424" spans="61:67" x14ac:dyDescent="0.25">
      <c r="BI424" s="2">
        <f t="shared" si="46"/>
        <v>35.166666666666572</v>
      </c>
      <c r="BJ424" s="1">
        <f t="shared" si="47"/>
        <v>2416.5229645528134</v>
      </c>
      <c r="BK424" s="1">
        <f t="shared" si="48"/>
        <v>-12997.936718725632</v>
      </c>
      <c r="BL424" s="26">
        <f t="shared" si="43"/>
        <v>1</v>
      </c>
      <c r="BM424" s="26">
        <f t="shared" si="49"/>
        <v>0</v>
      </c>
      <c r="BN424">
        <f t="shared" si="44"/>
        <v>35.166666666666572</v>
      </c>
      <c r="BO424">
        <f t="shared" si="45"/>
        <v>999</v>
      </c>
    </row>
    <row r="425" spans="61:67" x14ac:dyDescent="0.25">
      <c r="BI425" s="2">
        <f t="shared" si="46"/>
        <v>35.249999999999908</v>
      </c>
      <c r="BJ425" s="1">
        <f t="shared" si="47"/>
        <v>1592.8663373347649</v>
      </c>
      <c r="BK425" s="1">
        <f t="shared" si="48"/>
        <v>-13882.056302612289</v>
      </c>
      <c r="BL425" s="26">
        <f t="shared" si="43"/>
        <v>1</v>
      </c>
      <c r="BM425" s="26">
        <f t="shared" si="49"/>
        <v>0</v>
      </c>
      <c r="BN425">
        <f t="shared" si="44"/>
        <v>35.249999999999908</v>
      </c>
      <c r="BO425">
        <f t="shared" si="45"/>
        <v>999</v>
      </c>
    </row>
    <row r="426" spans="61:67" x14ac:dyDescent="0.25">
      <c r="BI426" s="2">
        <f t="shared" si="46"/>
        <v>35.333333333333243</v>
      </c>
      <c r="BJ426" s="1">
        <f t="shared" si="47"/>
        <v>767.04761147026875</v>
      </c>
      <c r="BK426" s="1">
        <f t="shared" si="48"/>
        <v>-14768.496700406648</v>
      </c>
      <c r="BL426" s="26">
        <f t="shared" si="43"/>
        <v>1</v>
      </c>
      <c r="BM426" s="26">
        <f t="shared" si="49"/>
        <v>0</v>
      </c>
      <c r="BN426">
        <f t="shared" si="44"/>
        <v>35.333333333333243</v>
      </c>
      <c r="BO426">
        <f t="shared" si="45"/>
        <v>999</v>
      </c>
    </row>
    <row r="427" spans="61:67" x14ac:dyDescent="0.25">
      <c r="BI427" s="2">
        <f t="shared" si="46"/>
        <v>35.416666666666579</v>
      </c>
      <c r="BJ427" s="1">
        <f t="shared" si="47"/>
        <v>-60.938888549621765</v>
      </c>
      <c r="BK427" s="1">
        <f t="shared" si="48"/>
        <v>-15657.264004245217</v>
      </c>
      <c r="BL427" s="26">
        <f t="shared" si="43"/>
        <v>1</v>
      </c>
      <c r="BM427" s="26">
        <f t="shared" si="49"/>
        <v>0</v>
      </c>
      <c r="BN427">
        <f t="shared" si="44"/>
        <v>35.416666666666579</v>
      </c>
      <c r="BO427">
        <f t="shared" si="45"/>
        <v>35.416666666666579</v>
      </c>
    </row>
    <row r="428" spans="61:67" x14ac:dyDescent="0.25">
      <c r="BI428" s="2">
        <f t="shared" si="46"/>
        <v>35.499999999999915</v>
      </c>
      <c r="BJ428" s="1">
        <f t="shared" si="47"/>
        <v>-891.09885313206451</v>
      </c>
      <c r="BK428" s="1">
        <f t="shared" si="48"/>
        <v>-16528.364322256362</v>
      </c>
      <c r="BL428" s="26">
        <f t="shared" si="43"/>
        <v>0</v>
      </c>
      <c r="BM428" s="26">
        <f t="shared" si="49"/>
        <v>0</v>
      </c>
      <c r="BN428">
        <f t="shared" si="44"/>
        <v>35.499999999999915</v>
      </c>
      <c r="BO428">
        <f t="shared" si="45"/>
        <v>35.499999999999915</v>
      </c>
    </row>
    <row r="429" spans="61:67" x14ac:dyDescent="0.25">
      <c r="BI429" s="2">
        <f t="shared" si="46"/>
        <v>35.58333333333325</v>
      </c>
      <c r="BJ429" s="1">
        <f t="shared" si="47"/>
        <v>-1723.4379876215362</v>
      </c>
      <c r="BK429" s="1">
        <f t="shared" si="48"/>
        <v>-17401.751278602285</v>
      </c>
      <c r="BL429" s="26">
        <f t="shared" si="43"/>
        <v>0</v>
      </c>
      <c r="BM429" s="26">
        <f t="shared" si="49"/>
        <v>0</v>
      </c>
      <c r="BN429">
        <f t="shared" si="44"/>
        <v>35.58333333333325</v>
      </c>
      <c r="BO429">
        <f t="shared" si="45"/>
        <v>35.58333333333325</v>
      </c>
    </row>
    <row r="430" spans="61:67" x14ac:dyDescent="0.25">
      <c r="BI430" s="2">
        <f t="shared" si="46"/>
        <v>35.666666666666586</v>
      </c>
      <c r="BJ430" s="1">
        <f t="shared" si="47"/>
        <v>-2557.9620123390432</v>
      </c>
      <c r="BK430" s="1">
        <f t="shared" si="48"/>
        <v>-18277.430875708618</v>
      </c>
      <c r="BL430" s="26">
        <f t="shared" si="43"/>
        <v>0</v>
      </c>
      <c r="BM430" s="26">
        <f t="shared" si="49"/>
        <v>0</v>
      </c>
      <c r="BN430">
        <f t="shared" si="44"/>
        <v>35.666666666666586</v>
      </c>
      <c r="BO430">
        <f t="shared" si="45"/>
        <v>35.666666666666586</v>
      </c>
    </row>
    <row r="431" spans="61:67" x14ac:dyDescent="0.25">
      <c r="BI431" s="2">
        <f t="shared" si="46"/>
        <v>35.749999999999922</v>
      </c>
      <c r="BJ431" s="1">
        <f t="shared" si="47"/>
        <v>-3394.6766626214335</v>
      </c>
      <c r="BK431" s="1">
        <f t="shared" si="48"/>
        <v>-19155.409131757355</v>
      </c>
      <c r="BL431" s="26">
        <f t="shared" si="43"/>
        <v>0</v>
      </c>
      <c r="BM431" s="26">
        <f t="shared" si="49"/>
        <v>0</v>
      </c>
      <c r="BN431">
        <f t="shared" si="44"/>
        <v>35.749999999999922</v>
      </c>
      <c r="BO431">
        <f t="shared" si="45"/>
        <v>35.749999999999922</v>
      </c>
    </row>
    <row r="432" spans="61:67" x14ac:dyDescent="0.25">
      <c r="BI432" s="2">
        <f t="shared" si="46"/>
        <v>35.833333333333258</v>
      </c>
      <c r="BJ432" s="1">
        <f t="shared" si="47"/>
        <v>-4233.5876888608145</v>
      </c>
      <c r="BK432" s="1">
        <f t="shared" si="48"/>
        <v>-20035.692080728219</v>
      </c>
      <c r="BL432" s="26">
        <f t="shared" si="43"/>
        <v>0</v>
      </c>
      <c r="BM432" s="26">
        <f t="shared" si="49"/>
        <v>0</v>
      </c>
      <c r="BN432">
        <f t="shared" si="44"/>
        <v>35.833333333333258</v>
      </c>
      <c r="BO432">
        <f t="shared" si="45"/>
        <v>35.833333333333258</v>
      </c>
    </row>
    <row r="433" spans="61:67" x14ac:dyDescent="0.25">
      <c r="BI433" s="2">
        <f t="shared" si="46"/>
        <v>35.916666666666593</v>
      </c>
      <c r="BJ433" s="1">
        <f t="shared" si="47"/>
        <v>-5074.7008565440747</v>
      </c>
      <c r="BK433" s="1">
        <f t="shared" si="48"/>
        <v>-20918.285772440133</v>
      </c>
      <c r="BL433" s="26">
        <f t="shared" si="43"/>
        <v>0</v>
      </c>
      <c r="BM433" s="26">
        <f t="shared" si="49"/>
        <v>0</v>
      </c>
      <c r="BN433">
        <f t="shared" si="44"/>
        <v>35.916666666666593</v>
      </c>
      <c r="BO433">
        <f t="shared" si="45"/>
        <v>35.916666666666593</v>
      </c>
    </row>
    <row r="434" spans="61:67" x14ac:dyDescent="0.25">
      <c r="BI434" s="2">
        <f t="shared" si="46"/>
        <v>35.999999999999929</v>
      </c>
      <c r="BJ434" s="1">
        <f t="shared" si="47"/>
        <v>-5918.0219462925033</v>
      </c>
      <c r="BK434" s="1">
        <f t="shared" si="48"/>
        <v>-21803.196272592792</v>
      </c>
      <c r="BL434" s="26">
        <f t="shared" si="43"/>
        <v>0</v>
      </c>
      <c r="BM434" s="26">
        <f t="shared" si="49"/>
        <v>0</v>
      </c>
      <c r="BN434">
        <f t="shared" si="44"/>
        <v>35.999999999999929</v>
      </c>
      <c r="BO434">
        <f t="shared" si="45"/>
        <v>35.999999999999929</v>
      </c>
    </row>
    <row r="435" spans="61:67" x14ac:dyDescent="0.25">
      <c r="BI435" s="2">
        <f t="shared" si="46"/>
        <v>36.083333333333265</v>
      </c>
      <c r="BJ435" s="1">
        <f t="shared" si="47"/>
        <v>-6763.5567539015219</v>
      </c>
      <c r="BK435" s="1">
        <f t="shared" si="48"/>
        <v>-22690.42966280835</v>
      </c>
      <c r="BL435" s="26">
        <f t="shared" si="43"/>
        <v>0</v>
      </c>
      <c r="BM435" s="26">
        <f t="shared" si="49"/>
        <v>0</v>
      </c>
      <c r="BN435">
        <f t="shared" si="44"/>
        <v>36.083333333333265</v>
      </c>
      <c r="BO435">
        <f t="shared" si="45"/>
        <v>36.083333333333265</v>
      </c>
    </row>
    <row r="436" spans="61:67" x14ac:dyDescent="0.25">
      <c r="BI436" s="2">
        <f t="shared" si="46"/>
        <v>36.1666666666666</v>
      </c>
      <c r="BJ436" s="1">
        <f t="shared" si="47"/>
        <v>-7611.3110903805136</v>
      </c>
      <c r="BK436" s="1">
        <f t="shared" si="48"/>
        <v>-23579.992040673224</v>
      </c>
      <c r="BL436" s="26">
        <f t="shared" si="43"/>
        <v>0</v>
      </c>
      <c r="BM436" s="26">
        <f t="shared" si="49"/>
        <v>0</v>
      </c>
      <c r="BN436">
        <f t="shared" si="44"/>
        <v>36.1666666666666</v>
      </c>
      <c r="BO436">
        <f t="shared" si="45"/>
        <v>36.1666666666666</v>
      </c>
    </row>
    <row r="437" spans="61:67" x14ac:dyDescent="0.25">
      <c r="BI437" s="2">
        <f t="shared" si="46"/>
        <v>36.249999999999936</v>
      </c>
      <c r="BJ437" s="1">
        <f t="shared" si="47"/>
        <v>-8461.2907819927641</v>
      </c>
      <c r="BK437" s="1">
        <f t="shared" si="48"/>
        <v>-24471.889519779994</v>
      </c>
      <c r="BL437" s="26">
        <f t="shared" si="43"/>
        <v>0</v>
      </c>
      <c r="BM437" s="26">
        <f t="shared" si="49"/>
        <v>0</v>
      </c>
      <c r="BN437">
        <f t="shared" si="44"/>
        <v>36.249999999999936</v>
      </c>
      <c r="BO437">
        <f t="shared" si="45"/>
        <v>36.249999999999936</v>
      </c>
    </row>
    <row r="438" spans="61:67" x14ac:dyDescent="0.25">
      <c r="BI438" s="2">
        <f t="shared" si="46"/>
        <v>36.333333333333272</v>
      </c>
      <c r="BJ438" s="1">
        <f t="shared" si="47"/>
        <v>-9313.5016702954963</v>
      </c>
      <c r="BK438" s="1">
        <f t="shared" si="48"/>
        <v>-25366.12822976942</v>
      </c>
      <c r="BL438" s="26">
        <f t="shared" si="43"/>
        <v>0</v>
      </c>
      <c r="BM438" s="26">
        <f t="shared" si="49"/>
        <v>0</v>
      </c>
      <c r="BN438">
        <f t="shared" si="44"/>
        <v>36.333333333333272</v>
      </c>
      <c r="BO438">
        <f t="shared" si="45"/>
        <v>36.333333333333272</v>
      </c>
    </row>
    <row r="439" spans="61:67" x14ac:dyDescent="0.25">
      <c r="BI439" s="2">
        <f t="shared" si="46"/>
        <v>36.416666666666607</v>
      </c>
      <c r="BJ439" s="1">
        <f t="shared" si="47"/>
        <v>-10167.949612180022</v>
      </c>
      <c r="BK439" s="1">
        <f t="shared" si="48"/>
        <v>-26262.714316372567</v>
      </c>
      <c r="BL439" s="26">
        <f t="shared" si="43"/>
        <v>0</v>
      </c>
      <c r="BM439" s="26">
        <f t="shared" si="49"/>
        <v>0</v>
      </c>
      <c r="BN439">
        <f t="shared" si="44"/>
        <v>36.416666666666607</v>
      </c>
      <c r="BO439">
        <f t="shared" si="45"/>
        <v>36.416666666666607</v>
      </c>
    </row>
    <row r="440" spans="61:67" x14ac:dyDescent="0.25">
      <c r="BI440" s="2">
        <f t="shared" si="46"/>
        <v>36.499999999999943</v>
      </c>
      <c r="BJ440" s="1">
        <f t="shared" si="47"/>
        <v>-11024.640479911995</v>
      </c>
      <c r="BK440" s="1">
        <f t="shared" si="48"/>
        <v>-27161.653941453049</v>
      </c>
      <c r="BL440" s="26">
        <f t="shared" si="43"/>
        <v>0</v>
      </c>
      <c r="BM440" s="26">
        <f t="shared" si="49"/>
        <v>0</v>
      </c>
      <c r="BN440">
        <f t="shared" si="44"/>
        <v>36.499999999999943</v>
      </c>
      <c r="BO440">
        <f t="shared" si="45"/>
        <v>36.499999999999943</v>
      </c>
    </row>
    <row r="441" spans="61:67" x14ac:dyDescent="0.25">
      <c r="BI441" s="2">
        <f t="shared" si="46"/>
        <v>36.583333333333279</v>
      </c>
      <c r="BJ441" s="1">
        <f t="shared" si="47"/>
        <v>-11883.580161171765</v>
      </c>
      <c r="BK441" s="1">
        <f t="shared" si="48"/>
        <v>-28062.953283049366</v>
      </c>
      <c r="BL441" s="26">
        <f t="shared" si="43"/>
        <v>0</v>
      </c>
      <c r="BM441" s="26">
        <f t="shared" si="49"/>
        <v>0</v>
      </c>
      <c r="BN441">
        <f t="shared" si="44"/>
        <v>36.583333333333279</v>
      </c>
      <c r="BO441">
        <f t="shared" si="45"/>
        <v>36.583333333333279</v>
      </c>
    </row>
    <row r="442" spans="61:67" x14ac:dyDescent="0.25">
      <c r="BI442" s="2">
        <f t="shared" si="46"/>
        <v>36.666666666666615</v>
      </c>
      <c r="BJ442" s="1">
        <f t="shared" si="47"/>
        <v>-12744.774559094842</v>
      </c>
      <c r="BK442" s="1">
        <f t="shared" si="48"/>
        <v>-28966.618535417372</v>
      </c>
      <c r="BL442" s="26">
        <f t="shared" si="43"/>
        <v>0</v>
      </c>
      <c r="BM442" s="26">
        <f t="shared" si="49"/>
        <v>0</v>
      </c>
      <c r="BN442">
        <f t="shared" si="44"/>
        <v>36.666666666666615</v>
      </c>
      <c r="BO442">
        <f t="shared" si="45"/>
        <v>36.666666666666615</v>
      </c>
    </row>
    <row r="443" spans="61:67" x14ac:dyDescent="0.25">
      <c r="BI443" s="2">
        <f t="shared" si="46"/>
        <v>36.74999999999995</v>
      </c>
      <c r="BJ443" s="1">
        <f t="shared" si="47"/>
        <v>-13608.229592312468</v>
      </c>
      <c r="BK443" s="1">
        <f t="shared" si="48"/>
        <v>-29872.655909072844</v>
      </c>
      <c r="BL443" s="26">
        <f t="shared" si="43"/>
        <v>0</v>
      </c>
      <c r="BM443" s="26">
        <f t="shared" si="49"/>
        <v>0</v>
      </c>
      <c r="BN443">
        <f t="shared" si="44"/>
        <v>36.74999999999995</v>
      </c>
      <c r="BO443">
        <f t="shared" si="45"/>
        <v>36.74999999999995</v>
      </c>
    </row>
    <row r="444" spans="61:67" x14ac:dyDescent="0.25">
      <c r="BI444" s="2">
        <f t="shared" si="46"/>
        <v>36.833333333333286</v>
      </c>
      <c r="BJ444" s="1">
        <f t="shared" si="47"/>
        <v>-14473.951194992289</v>
      </c>
      <c r="BK444" s="1">
        <f t="shared" si="48"/>
        <v>-30781.071630834162</v>
      </c>
      <c r="BL444" s="26">
        <f t="shared" si="43"/>
        <v>0</v>
      </c>
      <c r="BM444" s="26">
        <f t="shared" si="49"/>
        <v>0</v>
      </c>
      <c r="BN444">
        <f t="shared" si="44"/>
        <v>36.833333333333286</v>
      </c>
      <c r="BO444">
        <f t="shared" si="45"/>
        <v>36.833333333333286</v>
      </c>
    </row>
    <row r="445" spans="61:67" x14ac:dyDescent="0.25">
      <c r="BI445" s="2">
        <f t="shared" si="46"/>
        <v>36.916666666666622</v>
      </c>
      <c r="BJ445" s="1">
        <f t="shared" si="47"/>
        <v>-15341.945316879146</v>
      </c>
      <c r="BK445" s="1">
        <f t="shared" si="48"/>
        <v>-31691.871943865106</v>
      </c>
      <c r="BL445" s="26">
        <f t="shared" si="43"/>
        <v>0</v>
      </c>
      <c r="BM445" s="26">
        <f t="shared" si="49"/>
        <v>0</v>
      </c>
      <c r="BN445">
        <f t="shared" si="44"/>
        <v>36.916666666666622</v>
      </c>
      <c r="BO445">
        <f t="shared" si="45"/>
        <v>36.916666666666622</v>
      </c>
    </row>
    <row r="446" spans="61:67" x14ac:dyDescent="0.25">
      <c r="BI446" s="2">
        <f t="shared" si="46"/>
        <v>36.999999999999957</v>
      </c>
      <c r="BJ446" s="1">
        <f t="shared" si="47"/>
        <v>-16212.217923335955</v>
      </c>
      <c r="BK446" s="1">
        <f t="shared" si="48"/>
        <v>-32605.063107717757</v>
      </c>
      <c r="BL446" s="26">
        <f t="shared" si="43"/>
        <v>0</v>
      </c>
      <c r="BM446" s="26">
        <f t="shared" si="49"/>
        <v>0</v>
      </c>
      <c r="BN446">
        <f t="shared" si="44"/>
        <v>36.999999999999957</v>
      </c>
      <c r="BO446">
        <f t="shared" si="45"/>
        <v>36.999999999999957</v>
      </c>
    </row>
    <row r="447" spans="61:67" x14ac:dyDescent="0.25">
      <c r="BI447" s="2">
        <f t="shared" si="46"/>
        <v>37.083333333333293</v>
      </c>
      <c r="BJ447" s="1">
        <f t="shared" si="47"/>
        <v>-17084.774995384712</v>
      </c>
      <c r="BK447" s="1">
        <f t="shared" si="48"/>
        <v>-33520.651398375514</v>
      </c>
      <c r="BL447" s="26">
        <f t="shared" si="43"/>
        <v>0</v>
      </c>
      <c r="BM447" s="26">
        <f t="shared" si="49"/>
        <v>0</v>
      </c>
      <c r="BN447">
        <f t="shared" si="44"/>
        <v>37.083333333333293</v>
      </c>
      <c r="BO447">
        <f t="shared" si="45"/>
        <v>37.083333333333293</v>
      </c>
    </row>
    <row r="448" spans="61:67" x14ac:dyDescent="0.25">
      <c r="BI448" s="2">
        <f t="shared" si="46"/>
        <v>37.166666666666629</v>
      </c>
      <c r="BJ448" s="1">
        <f t="shared" si="47"/>
        <v>-17959.622529747598</v>
      </c>
      <c r="BK448" s="1">
        <f t="shared" si="48"/>
        <v>-34438.643108296252</v>
      </c>
      <c r="BL448" s="26">
        <f t="shared" si="43"/>
        <v>0</v>
      </c>
      <c r="BM448" s="26">
        <f t="shared" si="49"/>
        <v>0</v>
      </c>
      <c r="BN448">
        <f t="shared" si="44"/>
        <v>37.166666666666629</v>
      </c>
      <c r="BO448">
        <f t="shared" si="45"/>
        <v>37.166666666666629</v>
      </c>
    </row>
    <row r="449" spans="61:67" x14ac:dyDescent="0.25">
      <c r="BI449" s="2">
        <f t="shared" si="46"/>
        <v>37.249999999999964</v>
      </c>
      <c r="BJ449" s="1">
        <f t="shared" si="47"/>
        <v>-18836.766538888187</v>
      </c>
      <c r="BK449" s="1">
        <f t="shared" si="48"/>
        <v>-35359.044546455531</v>
      </c>
      <c r="BL449" s="26">
        <f t="shared" si="43"/>
        <v>0</v>
      </c>
      <c r="BM449" s="26">
        <f t="shared" si="49"/>
        <v>0</v>
      </c>
      <c r="BN449">
        <f t="shared" si="44"/>
        <v>37.249999999999964</v>
      </c>
      <c r="BO449">
        <f t="shared" si="45"/>
        <v>37.249999999999964</v>
      </c>
    </row>
    <row r="450" spans="61:67" x14ac:dyDescent="0.25">
      <c r="BI450" s="2">
        <f t="shared" si="46"/>
        <v>37.3333333333333</v>
      </c>
      <c r="BJ450" s="1">
        <f t="shared" si="47"/>
        <v>-19716.213051052771</v>
      </c>
      <c r="BK450" s="1">
        <f t="shared" si="48"/>
        <v>-36281.862038389983</v>
      </c>
      <c r="BL450" s="26">
        <f t="shared" ref="BL450:BL513" si="50">IF(BI450&gt;$G$12,0,1)</f>
        <v>0</v>
      </c>
      <c r="BM450" s="26">
        <f t="shared" si="49"/>
        <v>0</v>
      </c>
      <c r="BN450">
        <f t="shared" ref="BN450:BN513" si="51">IF(BK450&lt;0,BI450,999)</f>
        <v>37.3333333333333</v>
      </c>
      <c r="BO450">
        <f t="shared" ref="BO450:BO513" si="52">IF(BJ450&lt;0,BI450,999)</f>
        <v>37.3333333333333</v>
      </c>
    </row>
    <row r="451" spans="61:67" x14ac:dyDescent="0.25">
      <c r="BI451" s="2">
        <f t="shared" ref="BI451:BI514" si="53">BI450+1/12</f>
        <v>37.416666666666636</v>
      </c>
      <c r="BJ451" s="1">
        <f t="shared" ref="BJ451:BJ514" si="54">BJ450*(1+$C$4/12) - $C$3</f>
        <v>-20597.968110311787</v>
      </c>
      <c r="BK451" s="1">
        <f t="shared" si="48"/>
        <v>-37207.101926240757</v>
      </c>
      <c r="BL451" s="26">
        <f t="shared" si="50"/>
        <v>0</v>
      </c>
      <c r="BM451" s="26">
        <f t="shared" si="49"/>
        <v>0</v>
      </c>
      <c r="BN451">
        <f t="shared" si="51"/>
        <v>37.416666666666636</v>
      </c>
      <c r="BO451">
        <f t="shared" si="52"/>
        <v>37.416666666666636</v>
      </c>
    </row>
    <row r="452" spans="61:67" x14ac:dyDescent="0.25">
      <c r="BI452" s="2">
        <f t="shared" si="53"/>
        <v>37.499999999999972</v>
      </c>
      <c r="BJ452" s="1">
        <f t="shared" si="54"/>
        <v>-21482.037776601359</v>
      </c>
      <c r="BK452" s="1">
        <f t="shared" ref="BK452:BK515" si="55">BK451*(1+$D$4/12)-$C$3-($D$3-$C$3)*BL452</f>
        <v>-38134.770568797139</v>
      </c>
      <c r="BL452" s="26">
        <f t="shared" si="50"/>
        <v>0</v>
      </c>
      <c r="BM452" s="26">
        <f t="shared" si="49"/>
        <v>0</v>
      </c>
      <c r="BN452">
        <f t="shared" si="51"/>
        <v>37.499999999999972</v>
      </c>
      <c r="BO452">
        <f t="shared" si="52"/>
        <v>37.499999999999972</v>
      </c>
    </row>
    <row r="453" spans="61:67" x14ac:dyDescent="0.25">
      <c r="BI453" s="2">
        <f t="shared" si="53"/>
        <v>37.583333333333307</v>
      </c>
      <c r="BJ453" s="1">
        <f t="shared" si="54"/>
        <v>-22368.428125764938</v>
      </c>
      <c r="BK453" s="1">
        <f t="shared" si="55"/>
        <v>-39064.874341540235</v>
      </c>
      <c r="BL453" s="26">
        <f t="shared" si="50"/>
        <v>0</v>
      </c>
      <c r="BM453" s="26">
        <f t="shared" si="49"/>
        <v>0</v>
      </c>
      <c r="BN453">
        <f t="shared" si="51"/>
        <v>37.583333333333307</v>
      </c>
      <c r="BO453">
        <f t="shared" si="52"/>
        <v>37.583333333333307</v>
      </c>
    </row>
    <row r="454" spans="61:67" x14ac:dyDescent="0.25">
      <c r="BI454" s="2">
        <f t="shared" si="53"/>
        <v>37.666666666666643</v>
      </c>
      <c r="BJ454" s="1">
        <f t="shared" si="54"/>
        <v>-23257.145249595073</v>
      </c>
      <c r="BK454" s="1">
        <f t="shared" si="55"/>
        <v>-39997.419636686784</v>
      </c>
      <c r="BL454" s="26">
        <f t="shared" si="50"/>
        <v>0</v>
      </c>
      <c r="BM454" s="26">
        <f t="shared" si="49"/>
        <v>0</v>
      </c>
      <c r="BN454">
        <f t="shared" si="51"/>
        <v>37.666666666666643</v>
      </c>
      <c r="BO454">
        <f t="shared" si="52"/>
        <v>37.666666666666643</v>
      </c>
    </row>
    <row r="455" spans="61:67" x14ac:dyDescent="0.25">
      <c r="BI455" s="2">
        <f t="shared" si="53"/>
        <v>37.749999999999979</v>
      </c>
      <c r="BJ455" s="1">
        <f t="shared" si="54"/>
        <v>-24148.195255875264</v>
      </c>
      <c r="BK455" s="1">
        <f t="shared" si="55"/>
        <v>-40932.41286323309</v>
      </c>
      <c r="BL455" s="26">
        <f t="shared" si="50"/>
        <v>0</v>
      </c>
      <c r="BM455" s="26">
        <f t="shared" si="49"/>
        <v>0</v>
      </c>
      <c r="BN455">
        <f t="shared" si="51"/>
        <v>37.749999999999979</v>
      </c>
      <c r="BO455">
        <f t="shared" si="52"/>
        <v>37.749999999999979</v>
      </c>
    </row>
    <row r="456" spans="61:67" x14ac:dyDescent="0.25">
      <c r="BI456" s="2">
        <f t="shared" si="53"/>
        <v>37.833333333333314</v>
      </c>
      <c r="BJ456" s="1">
        <f t="shared" si="54"/>
        <v>-25041.584268421939</v>
      </c>
      <c r="BK456" s="1">
        <f t="shared" si="55"/>
        <v>-41869.860446999082</v>
      </c>
      <c r="BL456" s="26">
        <f t="shared" si="50"/>
        <v>0</v>
      </c>
      <c r="BM456" s="26">
        <f t="shared" si="49"/>
        <v>0</v>
      </c>
      <c r="BN456">
        <f t="shared" si="51"/>
        <v>37.833333333333314</v>
      </c>
      <c r="BO456">
        <f t="shared" si="52"/>
        <v>37.833333333333314</v>
      </c>
    </row>
    <row r="457" spans="61:67" x14ac:dyDescent="0.25">
      <c r="BI457" s="2">
        <f t="shared" si="53"/>
        <v>37.91666666666665</v>
      </c>
      <c r="BJ457" s="1">
        <f t="shared" si="54"/>
        <v>-25937.318427126549</v>
      </c>
      <c r="BK457" s="1">
        <f t="shared" si="55"/>
        <v>-42809.768830672459</v>
      </c>
      <c r="BL457" s="26">
        <f t="shared" si="50"/>
        <v>0</v>
      </c>
      <c r="BM457" s="26">
        <f t="shared" si="49"/>
        <v>0</v>
      </c>
      <c r="BN457">
        <f t="shared" si="51"/>
        <v>37.91666666666665</v>
      </c>
      <c r="BO457">
        <f t="shared" si="52"/>
        <v>37.91666666666665</v>
      </c>
    </row>
    <row r="458" spans="61:67" x14ac:dyDescent="0.25">
      <c r="BI458" s="2">
        <f t="shared" si="53"/>
        <v>37.999999999999986</v>
      </c>
      <c r="BJ458" s="1">
        <f t="shared" si="54"/>
        <v>-26835.40388799776</v>
      </c>
      <c r="BK458" s="1">
        <f t="shared" si="55"/>
        <v>-43752.144473852975</v>
      </c>
      <c r="BL458" s="26">
        <f t="shared" si="50"/>
        <v>0</v>
      </c>
      <c r="BM458" s="26">
        <f t="shared" si="49"/>
        <v>0</v>
      </c>
      <c r="BN458">
        <f t="shared" si="51"/>
        <v>37.999999999999986</v>
      </c>
      <c r="BO458">
        <f t="shared" si="52"/>
        <v>37.999999999999986</v>
      </c>
    </row>
    <row r="459" spans="61:67" x14ac:dyDescent="0.25">
      <c r="BI459" s="2">
        <f t="shared" si="53"/>
        <v>38.083333333333321</v>
      </c>
      <c r="BJ459" s="1">
        <f t="shared" si="54"/>
        <v>-27735.846823203756</v>
      </c>
      <c r="BK459" s="1">
        <f t="shared" si="55"/>
        <v>-44696.993853096843</v>
      </c>
      <c r="BL459" s="26">
        <f t="shared" si="50"/>
        <v>0</v>
      </c>
      <c r="BM459" s="26">
        <f t="shared" si="49"/>
        <v>0</v>
      </c>
      <c r="BN459">
        <f t="shared" si="51"/>
        <v>38.083333333333321</v>
      </c>
      <c r="BO459">
        <f t="shared" si="52"/>
        <v>38.083333333333321</v>
      </c>
    </row>
    <row r="460" spans="61:67" x14ac:dyDescent="0.25">
      <c r="BI460" s="2">
        <f t="shared" si="53"/>
        <v>38.166666666666657</v>
      </c>
      <c r="BJ460" s="1">
        <f t="shared" si="54"/>
        <v>-28638.653421114668</v>
      </c>
      <c r="BK460" s="1">
        <f t="shared" si="55"/>
        <v>-45644.323461961227</v>
      </c>
      <c r="BL460" s="26">
        <f t="shared" si="50"/>
        <v>0</v>
      </c>
      <c r="BM460" s="26">
        <f t="shared" si="49"/>
        <v>0</v>
      </c>
      <c r="BN460">
        <f t="shared" si="51"/>
        <v>38.166666666666657</v>
      </c>
      <c r="BO460">
        <f t="shared" si="52"/>
        <v>38.166666666666657</v>
      </c>
    </row>
    <row r="461" spans="61:67" x14ac:dyDescent="0.25">
      <c r="BI461" s="2">
        <f t="shared" si="53"/>
        <v>38.249999999999993</v>
      </c>
      <c r="BJ461" s="1">
        <f t="shared" si="54"/>
        <v>-29543.829886345098</v>
      </c>
      <c r="BK461" s="1">
        <f t="shared" si="55"/>
        <v>-46594.139811048881</v>
      </c>
      <c r="BL461" s="26">
        <f t="shared" si="50"/>
        <v>0</v>
      </c>
      <c r="BM461" s="26">
        <f t="shared" si="49"/>
        <v>0</v>
      </c>
      <c r="BN461">
        <f t="shared" si="51"/>
        <v>38.249999999999993</v>
      </c>
      <c r="BO461">
        <f t="shared" si="52"/>
        <v>38.249999999999993</v>
      </c>
    </row>
    <row r="462" spans="61:67" x14ac:dyDescent="0.25">
      <c r="BI462" s="2">
        <f t="shared" si="53"/>
        <v>38.333333333333329</v>
      </c>
      <c r="BJ462" s="1">
        <f t="shared" si="54"/>
        <v>-30451.382439796758</v>
      </c>
      <c r="BK462" s="1">
        <f t="shared" si="55"/>
        <v>-47546.449428052889</v>
      </c>
      <c r="BL462" s="26">
        <f t="shared" si="50"/>
        <v>0</v>
      </c>
      <c r="BM462" s="26">
        <f t="shared" si="49"/>
        <v>0</v>
      </c>
      <c r="BN462">
        <f t="shared" si="51"/>
        <v>38.333333333333329</v>
      </c>
      <c r="BO462">
        <f t="shared" si="52"/>
        <v>38.333333333333329</v>
      </c>
    </row>
    <row r="463" spans="61:67" x14ac:dyDescent="0.25">
      <c r="BI463" s="2">
        <f t="shared" si="53"/>
        <v>38.416666666666664</v>
      </c>
      <c r="BJ463" s="1">
        <f t="shared" si="54"/>
        <v>-31361.317318701229</v>
      </c>
      <c r="BK463" s="1">
        <f t="shared" si="55"/>
        <v>-48501.258857801535</v>
      </c>
      <c r="BL463" s="26">
        <f t="shared" si="50"/>
        <v>0</v>
      </c>
      <c r="BM463" s="26">
        <f t="shared" si="49"/>
        <v>0</v>
      </c>
      <c r="BN463">
        <f t="shared" si="51"/>
        <v>38.416666666666664</v>
      </c>
      <c r="BO463">
        <f t="shared" si="52"/>
        <v>38.416666666666664</v>
      </c>
    </row>
    <row r="464" spans="61:67" x14ac:dyDescent="0.25">
      <c r="BI464" s="2">
        <f t="shared" si="53"/>
        <v>38.5</v>
      </c>
      <c r="BJ464" s="1">
        <f t="shared" si="54"/>
        <v>-32273.640776662822</v>
      </c>
      <c r="BK464" s="1">
        <f t="shared" si="55"/>
        <v>-49458.574662303268</v>
      </c>
      <c r="BL464" s="26">
        <f t="shared" si="50"/>
        <v>0</v>
      </c>
      <c r="BM464" s="26">
        <f t="shared" si="49"/>
        <v>0</v>
      </c>
      <c r="BN464">
        <f t="shared" si="51"/>
        <v>38.5</v>
      </c>
      <c r="BO464">
        <f t="shared" si="52"/>
        <v>38.5</v>
      </c>
    </row>
    <row r="465" spans="61:67" x14ac:dyDescent="0.25">
      <c r="BI465" s="2">
        <f t="shared" si="53"/>
        <v>38.583333333333336</v>
      </c>
      <c r="BJ465" s="1">
        <f t="shared" si="54"/>
        <v>-33188.359083701565</v>
      </c>
      <c r="BK465" s="1">
        <f t="shared" si="55"/>
        <v>-50418.403420791816</v>
      </c>
      <c r="BL465" s="26">
        <f t="shared" si="50"/>
        <v>0</v>
      </c>
      <c r="BM465" s="26">
        <f t="shared" si="49"/>
        <v>0</v>
      </c>
      <c r="BN465">
        <f t="shared" si="51"/>
        <v>38.583333333333336</v>
      </c>
      <c r="BO465">
        <f t="shared" si="52"/>
        <v>38.583333333333336</v>
      </c>
    </row>
    <row r="466" spans="61:67" x14ac:dyDescent="0.25">
      <c r="BI466" s="2">
        <f t="shared" si="53"/>
        <v>38.666666666666671</v>
      </c>
      <c r="BJ466" s="1">
        <f t="shared" si="54"/>
        <v>-34105.478526296283</v>
      </c>
      <c r="BK466" s="1">
        <f t="shared" si="55"/>
        <v>-51380.7517297714</v>
      </c>
      <c r="BL466" s="26">
        <f t="shared" si="50"/>
        <v>0</v>
      </c>
      <c r="BM466" s="26">
        <f t="shared" si="49"/>
        <v>0</v>
      </c>
      <c r="BN466">
        <f t="shared" si="51"/>
        <v>38.666666666666671</v>
      </c>
      <c r="BO466">
        <f t="shared" si="52"/>
        <v>38.666666666666671</v>
      </c>
    </row>
    <row r="467" spans="61:67" x14ac:dyDescent="0.25">
      <c r="BI467" s="2">
        <f t="shared" si="53"/>
        <v>38.750000000000007</v>
      </c>
      <c r="BJ467" s="1">
        <f t="shared" si="54"/>
        <v>-35025.005407427816</v>
      </c>
      <c r="BK467" s="1">
        <f t="shared" si="55"/>
        <v>-52345.626203062056</v>
      </c>
      <c r="BL467" s="26">
        <f t="shared" si="50"/>
        <v>0</v>
      </c>
      <c r="BM467" s="26">
        <f t="shared" si="49"/>
        <v>0</v>
      </c>
      <c r="BN467">
        <f t="shared" si="51"/>
        <v>38.750000000000007</v>
      </c>
      <c r="BO467">
        <f t="shared" si="52"/>
        <v>38.750000000000007</v>
      </c>
    </row>
    <row r="468" spans="61:67" x14ac:dyDescent="0.25">
      <c r="BI468" s="2">
        <f t="shared" si="53"/>
        <v>38.833333333333343</v>
      </c>
      <c r="BJ468" s="1">
        <f t="shared" si="54"/>
        <v>-35946.946046622317</v>
      </c>
      <c r="BK468" s="1">
        <f t="shared" si="55"/>
        <v>-53313.033471845098</v>
      </c>
      <c r="BL468" s="26">
        <f t="shared" si="50"/>
        <v>0</v>
      </c>
      <c r="BM468" s="26">
        <f t="shared" si="49"/>
        <v>0</v>
      </c>
      <c r="BN468">
        <f t="shared" si="51"/>
        <v>38.833333333333343</v>
      </c>
      <c r="BO468">
        <f t="shared" si="52"/>
        <v>38.833333333333343</v>
      </c>
    </row>
    <row r="469" spans="61:67" x14ac:dyDescent="0.25">
      <c r="BI469" s="2">
        <f t="shared" si="53"/>
        <v>38.916666666666679</v>
      </c>
      <c r="BJ469" s="1">
        <f t="shared" si="54"/>
        <v>-36871.306779994702</v>
      </c>
      <c r="BK469" s="1">
        <f t="shared" si="55"/>
        <v>-54282.980184708693</v>
      </c>
      <c r="BL469" s="26">
        <f t="shared" si="50"/>
        <v>0</v>
      </c>
      <c r="BM469" s="26">
        <f t="shared" si="49"/>
        <v>0</v>
      </c>
      <c r="BN469">
        <f t="shared" si="51"/>
        <v>38.916666666666679</v>
      </c>
      <c r="BO469">
        <f t="shared" si="52"/>
        <v>38.916666666666679</v>
      </c>
    </row>
    <row r="470" spans="61:67" x14ac:dyDescent="0.25">
      <c r="BI470" s="2">
        <f t="shared" si="53"/>
        <v>39.000000000000014</v>
      </c>
      <c r="BJ470" s="1">
        <f t="shared" si="54"/>
        <v>-37798.093960292194</v>
      </c>
      <c r="BK470" s="1">
        <f t="shared" si="55"/>
        <v>-55255.473007693559</v>
      </c>
      <c r="BL470" s="26">
        <f t="shared" si="50"/>
        <v>0</v>
      </c>
      <c r="BM470" s="26">
        <f t="shared" si="49"/>
        <v>0</v>
      </c>
      <c r="BN470">
        <f t="shared" si="51"/>
        <v>39.000000000000014</v>
      </c>
      <c r="BO470">
        <f t="shared" si="52"/>
        <v>39.000000000000014</v>
      </c>
    </row>
    <row r="471" spans="61:67" x14ac:dyDescent="0.25">
      <c r="BI471" s="2">
        <f t="shared" si="53"/>
        <v>39.08333333333335</v>
      </c>
      <c r="BJ471" s="1">
        <f t="shared" si="54"/>
        <v>-38727.313956937964</v>
      </c>
      <c r="BK471" s="1">
        <f t="shared" si="55"/>
        <v>-56230.518624338758</v>
      </c>
      <c r="BL471" s="26">
        <f t="shared" si="50"/>
        <v>0</v>
      </c>
      <c r="BM471" s="26">
        <f t="shared" si="49"/>
        <v>0</v>
      </c>
      <c r="BN471">
        <f t="shared" si="51"/>
        <v>39.08333333333335</v>
      </c>
      <c r="BO471">
        <f t="shared" si="52"/>
        <v>39.08333333333335</v>
      </c>
    </row>
    <row r="472" spans="61:67" x14ac:dyDescent="0.25">
      <c r="BI472" s="2">
        <f t="shared" si="53"/>
        <v>39.166666666666686</v>
      </c>
      <c r="BJ472" s="1">
        <f t="shared" si="54"/>
        <v>-39658.973156074928</v>
      </c>
      <c r="BK472" s="1">
        <f t="shared" si="55"/>
        <v>-57208.123735727655</v>
      </c>
      <c r="BL472" s="26">
        <f t="shared" si="50"/>
        <v>0</v>
      </c>
      <c r="BM472" s="26">
        <f t="shared" si="49"/>
        <v>0</v>
      </c>
      <c r="BN472">
        <f t="shared" si="51"/>
        <v>39.166666666666686</v>
      </c>
      <c r="BO472">
        <f t="shared" si="52"/>
        <v>39.166666666666686</v>
      </c>
    </row>
    <row r="473" spans="61:67" x14ac:dyDescent="0.25">
      <c r="BI473" s="2">
        <f t="shared" si="53"/>
        <v>39.250000000000021</v>
      </c>
      <c r="BJ473" s="1">
        <f t="shared" si="54"/>
        <v>-40593.077960609626</v>
      </c>
      <c r="BK473" s="1">
        <f t="shared" si="55"/>
        <v>-58188.295060533943</v>
      </c>
      <c r="BL473" s="26">
        <f t="shared" si="50"/>
        <v>0</v>
      </c>
      <c r="BM473" s="26">
        <f t="shared" si="49"/>
        <v>0</v>
      </c>
      <c r="BN473">
        <f t="shared" si="51"/>
        <v>39.250000000000021</v>
      </c>
      <c r="BO473">
        <f t="shared" si="52"/>
        <v>39.250000000000021</v>
      </c>
    </row>
    <row r="474" spans="61:67" x14ac:dyDescent="0.25">
      <c r="BI474" s="2">
        <f t="shared" si="53"/>
        <v>39.333333333333357</v>
      </c>
      <c r="BJ474" s="1">
        <f t="shared" si="54"/>
        <v>-41529.634790256227</v>
      </c>
      <c r="BK474" s="1">
        <f t="shared" si="55"/>
        <v>-59171.03933506785</v>
      </c>
      <c r="BL474" s="26">
        <f t="shared" si="50"/>
        <v>0</v>
      </c>
      <c r="BM474" s="26">
        <f t="shared" si="49"/>
        <v>0</v>
      </c>
      <c r="BN474">
        <f t="shared" si="51"/>
        <v>39.333333333333357</v>
      </c>
      <c r="BO474">
        <f t="shared" si="52"/>
        <v>39.333333333333357</v>
      </c>
    </row>
    <row r="475" spans="61:67" x14ac:dyDescent="0.25">
      <c r="BI475" s="2">
        <f t="shared" si="53"/>
        <v>39.416666666666693</v>
      </c>
      <c r="BJ475" s="1">
        <f t="shared" si="54"/>
        <v>-42468.65008158065</v>
      </c>
      <c r="BK475" s="1">
        <f t="shared" si="55"/>
        <v>-60156.363313322407</v>
      </c>
      <c r="BL475" s="26">
        <f t="shared" si="50"/>
        <v>0</v>
      </c>
      <c r="BM475" s="26">
        <f t="shared" ref="BM475:BM538" si="56">IF(AND(BL475&gt;0,BK475&gt;0),1,0)</f>
        <v>0</v>
      </c>
      <c r="BN475">
        <f t="shared" si="51"/>
        <v>39.416666666666693</v>
      </c>
      <c r="BO475">
        <f t="shared" si="52"/>
        <v>39.416666666666693</v>
      </c>
    </row>
    <row r="476" spans="61:67" x14ac:dyDescent="0.25">
      <c r="BI476" s="2">
        <f t="shared" si="53"/>
        <v>39.500000000000028</v>
      </c>
      <c r="BJ476" s="1">
        <f t="shared" si="54"/>
        <v>-43410.130288044806</v>
      </c>
      <c r="BK476" s="1">
        <f t="shared" si="55"/>
        <v>-61144.273767019884</v>
      </c>
      <c r="BL476" s="26">
        <f t="shared" si="50"/>
        <v>0</v>
      </c>
      <c r="BM476" s="26">
        <f t="shared" si="56"/>
        <v>0</v>
      </c>
      <c r="BN476">
        <f t="shared" si="51"/>
        <v>39.500000000000028</v>
      </c>
      <c r="BO476">
        <f t="shared" si="52"/>
        <v>39.500000000000028</v>
      </c>
    </row>
    <row r="477" spans="61:67" x14ac:dyDescent="0.25">
      <c r="BI477" s="2">
        <f t="shared" si="53"/>
        <v>39.583333333333364</v>
      </c>
      <c r="BJ477" s="1">
        <f t="shared" si="54"/>
        <v>-44354.08188005093</v>
      </c>
      <c r="BK477" s="1">
        <f t="shared" si="55"/>
        <v>-62134.77748565832</v>
      </c>
      <c r="BL477" s="26">
        <f t="shared" si="50"/>
        <v>0</v>
      </c>
      <c r="BM477" s="26">
        <f t="shared" si="56"/>
        <v>0</v>
      </c>
      <c r="BN477">
        <f t="shared" si="51"/>
        <v>39.583333333333364</v>
      </c>
      <c r="BO477">
        <f t="shared" si="52"/>
        <v>39.583333333333364</v>
      </c>
    </row>
    <row r="478" spans="61:67" x14ac:dyDescent="0.25">
      <c r="BI478" s="2">
        <f t="shared" si="53"/>
        <v>39.6666666666667</v>
      </c>
      <c r="BJ478" s="1">
        <f t="shared" si="54"/>
        <v>-45300.511344986066</v>
      </c>
      <c r="BK478" s="1">
        <f t="shared" si="55"/>
        <v>-63127.881276558182</v>
      </c>
      <c r="BL478" s="26">
        <f t="shared" si="50"/>
        <v>0</v>
      </c>
      <c r="BM478" s="26">
        <f t="shared" si="56"/>
        <v>0</v>
      </c>
      <c r="BN478">
        <f t="shared" si="51"/>
        <v>39.6666666666667</v>
      </c>
      <c r="BO478">
        <f t="shared" si="52"/>
        <v>39.6666666666667</v>
      </c>
    </row>
    <row r="479" spans="61:67" x14ac:dyDescent="0.25">
      <c r="BI479" s="2">
        <f t="shared" si="53"/>
        <v>39.750000000000036</v>
      </c>
      <c r="BJ479" s="1">
        <f t="shared" si="54"/>
        <v>-46249.425187266657</v>
      </c>
      <c r="BK479" s="1">
        <f t="shared" si="55"/>
        <v>-64123.591964909152</v>
      </c>
      <c r="BL479" s="26">
        <f t="shared" si="50"/>
        <v>0</v>
      </c>
      <c r="BM479" s="26">
        <f t="shared" si="56"/>
        <v>0</v>
      </c>
      <c r="BN479">
        <f t="shared" si="51"/>
        <v>39.750000000000036</v>
      </c>
      <c r="BO479">
        <f t="shared" si="52"/>
        <v>39.750000000000036</v>
      </c>
    </row>
    <row r="480" spans="61:67" x14ac:dyDescent="0.25">
      <c r="BI480" s="2">
        <f t="shared" si="53"/>
        <v>39.833333333333371</v>
      </c>
      <c r="BJ480" s="1">
        <f t="shared" si="54"/>
        <v>-47200.829928383238</v>
      </c>
      <c r="BK480" s="1">
        <f t="shared" si="55"/>
        <v>-65121.916393817046</v>
      </c>
      <c r="BL480" s="26">
        <f t="shared" si="50"/>
        <v>0</v>
      </c>
      <c r="BM480" s="26">
        <f t="shared" si="56"/>
        <v>0</v>
      </c>
      <c r="BN480">
        <f t="shared" si="51"/>
        <v>39.833333333333371</v>
      </c>
      <c r="BO480">
        <f t="shared" si="52"/>
        <v>39.833333333333371</v>
      </c>
    </row>
    <row r="481" spans="61:67" x14ac:dyDescent="0.25">
      <c r="BI481" s="2">
        <f t="shared" si="53"/>
        <v>39.916666666666707</v>
      </c>
      <c r="BJ481" s="1">
        <f t="shared" si="54"/>
        <v>-48154.732106945252</v>
      </c>
      <c r="BK481" s="1">
        <f t="shared" si="55"/>
        <v>-66122.86142435082</v>
      </c>
      <c r="BL481" s="26">
        <f t="shared" si="50"/>
        <v>0</v>
      </c>
      <c r="BM481" s="26">
        <f t="shared" si="56"/>
        <v>0</v>
      </c>
      <c r="BN481">
        <f t="shared" si="51"/>
        <v>39.916666666666707</v>
      </c>
      <c r="BO481">
        <f t="shared" si="52"/>
        <v>39.916666666666707</v>
      </c>
    </row>
    <row r="482" spans="61:67" x14ac:dyDescent="0.25">
      <c r="BI482" s="2">
        <f t="shared" si="53"/>
        <v>40.000000000000043</v>
      </c>
      <c r="BJ482" s="1">
        <f t="shared" si="54"/>
        <v>-49111.138278725986</v>
      </c>
      <c r="BK482" s="1">
        <f t="shared" si="55"/>
        <v>-67126.433935589754</v>
      </c>
      <c r="BL482" s="26">
        <f t="shared" si="50"/>
        <v>0</v>
      </c>
      <c r="BM482" s="26">
        <f t="shared" si="56"/>
        <v>0</v>
      </c>
      <c r="BN482">
        <f t="shared" si="51"/>
        <v>40.000000000000043</v>
      </c>
      <c r="BO482">
        <f t="shared" si="52"/>
        <v>40.000000000000043</v>
      </c>
    </row>
    <row r="483" spans="61:67" x14ac:dyDescent="0.25">
      <c r="BI483" s="2">
        <f t="shared" si="53"/>
        <v>40.083333333333378</v>
      </c>
      <c r="BJ483" s="1">
        <f t="shared" si="54"/>
        <v>-50070.055016707644</v>
      </c>
      <c r="BK483" s="1">
        <f t="shared" si="55"/>
        <v>-68132.640824670685</v>
      </c>
      <c r="BL483" s="26">
        <f t="shared" si="50"/>
        <v>0</v>
      </c>
      <c r="BM483" s="26">
        <f t="shared" si="56"/>
        <v>0</v>
      </c>
      <c r="BN483">
        <f t="shared" si="51"/>
        <v>40.083333333333378</v>
      </c>
      <c r="BO483">
        <f t="shared" si="52"/>
        <v>40.083333333333378</v>
      </c>
    </row>
    <row r="484" spans="61:67" x14ac:dyDescent="0.25">
      <c r="BI484" s="2">
        <f t="shared" si="53"/>
        <v>40.166666666666714</v>
      </c>
      <c r="BJ484" s="1">
        <f t="shared" si="54"/>
        <v>-51031.488911126507</v>
      </c>
      <c r="BK484" s="1">
        <f t="shared" si="55"/>
        <v>-69141.489006835458</v>
      </c>
      <c r="BL484" s="26">
        <f t="shared" si="50"/>
        <v>0</v>
      </c>
      <c r="BM484" s="26">
        <f t="shared" si="56"/>
        <v>0</v>
      </c>
      <c r="BN484">
        <f t="shared" si="51"/>
        <v>40.166666666666714</v>
      </c>
      <c r="BO484">
        <f t="shared" si="52"/>
        <v>40.166666666666714</v>
      </c>
    </row>
    <row r="485" spans="61:67" x14ac:dyDescent="0.25">
      <c r="BI485" s="2">
        <f t="shared" si="53"/>
        <v>40.25000000000005</v>
      </c>
      <c r="BJ485" s="1">
        <f t="shared" si="54"/>
        <v>-51995.446569518223</v>
      </c>
      <c r="BK485" s="1">
        <f t="shared" si="55"/>
        <v>-70152.985415478412</v>
      </c>
      <c r="BL485" s="26">
        <f t="shared" si="50"/>
        <v>0</v>
      </c>
      <c r="BM485" s="26">
        <f t="shared" si="56"/>
        <v>0</v>
      </c>
      <c r="BN485">
        <f t="shared" si="51"/>
        <v>40.25000000000005</v>
      </c>
      <c r="BO485">
        <f t="shared" si="52"/>
        <v>40.25000000000005</v>
      </c>
    </row>
    <row r="486" spans="61:67" x14ac:dyDescent="0.25">
      <c r="BI486" s="2">
        <f t="shared" si="53"/>
        <v>40.333333333333385</v>
      </c>
      <c r="BJ486" s="1">
        <f t="shared" si="54"/>
        <v>-52961.93461676321</v>
      </c>
      <c r="BK486" s="1">
        <f t="shared" si="55"/>
        <v>-71167.137002194053</v>
      </c>
      <c r="BL486" s="26">
        <f t="shared" si="50"/>
        <v>0</v>
      </c>
      <c r="BM486" s="26">
        <f t="shared" si="56"/>
        <v>0</v>
      </c>
      <c r="BN486">
        <f t="shared" si="51"/>
        <v>40.333333333333385</v>
      </c>
      <c r="BO486">
        <f t="shared" si="52"/>
        <v>40.333333333333385</v>
      </c>
    </row>
    <row r="487" spans="61:67" x14ac:dyDescent="0.25">
      <c r="BI487" s="2">
        <f t="shared" si="53"/>
        <v>40.416666666666721</v>
      </c>
      <c r="BJ487" s="1">
        <f t="shared" si="54"/>
        <v>-53930.959695132216</v>
      </c>
      <c r="BK487" s="1">
        <f t="shared" si="55"/>
        <v>-72183.950736824816</v>
      </c>
      <c r="BL487" s="26">
        <f t="shared" si="50"/>
        <v>0</v>
      </c>
      <c r="BM487" s="26">
        <f t="shared" si="56"/>
        <v>0</v>
      </c>
      <c r="BN487">
        <f t="shared" si="51"/>
        <v>40.416666666666721</v>
      </c>
      <c r="BO487">
        <f t="shared" si="52"/>
        <v>40.416666666666721</v>
      </c>
    </row>
    <row r="488" spans="61:67" x14ac:dyDescent="0.25">
      <c r="BI488" s="2">
        <f t="shared" si="53"/>
        <v>40.500000000000057</v>
      </c>
      <c r="BJ488" s="1">
        <f t="shared" si="54"/>
        <v>-54902.528464331946</v>
      </c>
      <c r="BK488" s="1">
        <f t="shared" si="55"/>
        <v>-73203.433607508981</v>
      </c>
      <c r="BL488" s="26">
        <f t="shared" si="50"/>
        <v>0</v>
      </c>
      <c r="BM488" s="26">
        <f t="shared" si="56"/>
        <v>0</v>
      </c>
      <c r="BN488">
        <f t="shared" si="51"/>
        <v>40.500000000000057</v>
      </c>
      <c r="BO488">
        <f t="shared" si="52"/>
        <v>40.500000000000057</v>
      </c>
    </row>
    <row r="489" spans="61:67" x14ac:dyDescent="0.25">
      <c r="BI489" s="2">
        <f t="shared" si="53"/>
        <v>40.583333333333393</v>
      </c>
      <c r="BJ489" s="1">
        <f t="shared" si="54"/>
        <v>-55876.647601550823</v>
      </c>
      <c r="BK489" s="1">
        <f t="shared" si="55"/>
        <v>-74225.592620728698</v>
      </c>
      <c r="BL489" s="26">
        <f t="shared" si="50"/>
        <v>0</v>
      </c>
      <c r="BM489" s="26">
        <f t="shared" si="56"/>
        <v>0</v>
      </c>
      <c r="BN489">
        <f t="shared" si="51"/>
        <v>40.583333333333393</v>
      </c>
      <c r="BO489">
        <f t="shared" si="52"/>
        <v>40.583333333333393</v>
      </c>
    </row>
    <row r="490" spans="61:67" x14ac:dyDescent="0.25">
      <c r="BI490" s="2">
        <f t="shared" si="53"/>
        <v>40.666666666666728</v>
      </c>
      <c r="BJ490" s="1">
        <f t="shared" si="54"/>
        <v>-56853.323801504899</v>
      </c>
      <c r="BK490" s="1">
        <f t="shared" si="55"/>
        <v>-75250.434801358118</v>
      </c>
      <c r="BL490" s="26">
        <f t="shared" si="50"/>
        <v>0</v>
      </c>
      <c r="BM490" s="26">
        <f t="shared" si="56"/>
        <v>0</v>
      </c>
      <c r="BN490">
        <f t="shared" si="51"/>
        <v>40.666666666666728</v>
      </c>
      <c r="BO490">
        <f t="shared" si="52"/>
        <v>40.666666666666728</v>
      </c>
    </row>
    <row r="491" spans="61:67" x14ac:dyDescent="0.25">
      <c r="BI491" s="2">
        <f t="shared" si="53"/>
        <v>40.750000000000064</v>
      </c>
      <c r="BJ491" s="1">
        <f t="shared" si="54"/>
        <v>-57832.563776483854</v>
      </c>
      <c r="BK491" s="1">
        <f t="shared" si="55"/>
        <v>-76277.967192711687</v>
      </c>
      <c r="BL491" s="26">
        <f t="shared" si="50"/>
        <v>0</v>
      </c>
      <c r="BM491" s="26">
        <f t="shared" si="56"/>
        <v>0</v>
      </c>
      <c r="BN491">
        <f t="shared" si="51"/>
        <v>40.750000000000064</v>
      </c>
      <c r="BO491">
        <f t="shared" si="52"/>
        <v>40.750000000000064</v>
      </c>
    </row>
    <row r="492" spans="61:67" x14ac:dyDescent="0.25">
      <c r="BI492" s="2">
        <f t="shared" si="53"/>
        <v>40.8333333333334</v>
      </c>
      <c r="BJ492" s="1">
        <f t="shared" si="54"/>
        <v>-58814.374256397132</v>
      </c>
      <c r="BK492" s="1">
        <f t="shared" si="55"/>
        <v>-77308.196856592564</v>
      </c>
      <c r="BL492" s="26">
        <f t="shared" si="50"/>
        <v>0</v>
      </c>
      <c r="BM492" s="26">
        <f t="shared" si="56"/>
        <v>0</v>
      </c>
      <c r="BN492">
        <f t="shared" si="51"/>
        <v>40.8333333333334</v>
      </c>
      <c r="BO492">
        <f t="shared" si="52"/>
        <v>40.8333333333334</v>
      </c>
    </row>
    <row r="493" spans="61:67" x14ac:dyDescent="0.25">
      <c r="BI493" s="2">
        <f t="shared" si="53"/>
        <v>40.916666666666735</v>
      </c>
      <c r="BJ493" s="1">
        <f t="shared" si="54"/>
        <v>-59798.761988820181</v>
      </c>
      <c r="BK493" s="1">
        <f t="shared" si="55"/>
        <v>-78341.130873341128</v>
      </c>
      <c r="BL493" s="26">
        <f t="shared" si="50"/>
        <v>0</v>
      </c>
      <c r="BM493" s="26">
        <f t="shared" si="56"/>
        <v>0</v>
      </c>
      <c r="BN493">
        <f t="shared" si="51"/>
        <v>40.916666666666735</v>
      </c>
      <c r="BO493">
        <f t="shared" si="52"/>
        <v>40.916666666666735</v>
      </c>
    </row>
    <row r="494" spans="61:67" x14ac:dyDescent="0.25">
      <c r="BI494" s="2">
        <f t="shared" si="53"/>
        <v>41.000000000000071</v>
      </c>
      <c r="BJ494" s="1">
        <f t="shared" si="54"/>
        <v>-60785.733739040843</v>
      </c>
      <c r="BK494" s="1">
        <f t="shared" si="55"/>
        <v>-79376.776341883655</v>
      </c>
      <c r="BL494" s="26">
        <f t="shared" si="50"/>
        <v>0</v>
      </c>
      <c r="BM494" s="26">
        <f t="shared" si="56"/>
        <v>0</v>
      </c>
      <c r="BN494">
        <f t="shared" si="51"/>
        <v>41.000000000000071</v>
      </c>
      <c r="BO494">
        <f t="shared" si="52"/>
        <v>41.000000000000071</v>
      </c>
    </row>
    <row r="495" spans="61:67" x14ac:dyDescent="0.25">
      <c r="BI495" s="2">
        <f t="shared" si="53"/>
        <v>41.083333333333407</v>
      </c>
      <c r="BJ495" s="1">
        <f t="shared" si="54"/>
        <v>-61775.296290105834</v>
      </c>
      <c r="BK495" s="1">
        <f t="shared" si="55"/>
        <v>-80415.140379781107</v>
      </c>
      <c r="BL495" s="26">
        <f t="shared" si="50"/>
        <v>0</v>
      </c>
      <c r="BM495" s="26">
        <f t="shared" si="56"/>
        <v>0</v>
      </c>
      <c r="BN495">
        <f t="shared" si="51"/>
        <v>41.083333333333407</v>
      </c>
      <c r="BO495">
        <f t="shared" si="52"/>
        <v>41.083333333333407</v>
      </c>
    </row>
    <row r="496" spans="61:67" x14ac:dyDescent="0.25">
      <c r="BI496" s="2">
        <f t="shared" si="53"/>
        <v>41.166666666666742</v>
      </c>
      <c r="BJ496" s="1">
        <f t="shared" si="54"/>
        <v>-62767.456442867369</v>
      </c>
      <c r="BK496" s="1">
        <f t="shared" si="55"/>
        <v>-81456.230123278045</v>
      </c>
      <c r="BL496" s="26">
        <f t="shared" si="50"/>
        <v>0</v>
      </c>
      <c r="BM496" s="26">
        <f t="shared" si="56"/>
        <v>0</v>
      </c>
      <c r="BN496">
        <f t="shared" si="51"/>
        <v>41.166666666666742</v>
      </c>
      <c r="BO496">
        <f t="shared" si="52"/>
        <v>41.166666666666742</v>
      </c>
    </row>
    <row r="497" spans="61:67" x14ac:dyDescent="0.25">
      <c r="BI497" s="2">
        <f t="shared" si="53"/>
        <v>41.250000000000078</v>
      </c>
      <c r="BJ497" s="1">
        <f t="shared" si="54"/>
        <v>-63762.2210160299</v>
      </c>
      <c r="BK497" s="1">
        <f t="shared" si="55"/>
        <v>-82500.052727351664</v>
      </c>
      <c r="BL497" s="26">
        <f t="shared" si="50"/>
        <v>0</v>
      </c>
      <c r="BM497" s="26">
        <f t="shared" si="56"/>
        <v>0</v>
      </c>
      <c r="BN497">
        <f t="shared" si="51"/>
        <v>41.250000000000078</v>
      </c>
      <c r="BO497">
        <f t="shared" si="52"/>
        <v>41.250000000000078</v>
      </c>
    </row>
    <row r="498" spans="61:67" x14ac:dyDescent="0.25">
      <c r="BI498" s="2">
        <f t="shared" si="53"/>
        <v>41.333333333333414</v>
      </c>
      <c r="BJ498" s="1">
        <f t="shared" si="54"/>
        <v>-64759.596846196982</v>
      </c>
      <c r="BK498" s="1">
        <f t="shared" si="55"/>
        <v>-83546.615365760968</v>
      </c>
      <c r="BL498" s="26">
        <f t="shared" si="50"/>
        <v>0</v>
      </c>
      <c r="BM498" s="26">
        <f t="shared" si="56"/>
        <v>0</v>
      </c>
      <c r="BN498">
        <f t="shared" si="51"/>
        <v>41.333333333333414</v>
      </c>
      <c r="BO498">
        <f t="shared" si="52"/>
        <v>41.333333333333414</v>
      </c>
    </row>
    <row r="499" spans="61:67" x14ac:dyDescent="0.25">
      <c r="BI499" s="2">
        <f t="shared" si="53"/>
        <v>41.41666666666675</v>
      </c>
      <c r="BJ499" s="1">
        <f t="shared" si="54"/>
        <v>-65759.590787918249</v>
      </c>
      <c r="BK499" s="1">
        <f t="shared" si="55"/>
        <v>-84595.925231096102</v>
      </c>
      <c r="BL499" s="26">
        <f t="shared" si="50"/>
        <v>0</v>
      </c>
      <c r="BM499" s="26">
        <f t="shared" si="56"/>
        <v>0</v>
      </c>
      <c r="BN499">
        <f t="shared" si="51"/>
        <v>41.41666666666675</v>
      </c>
      <c r="BO499">
        <f t="shared" si="52"/>
        <v>41.41666666666675</v>
      </c>
    </row>
    <row r="500" spans="61:67" x14ac:dyDescent="0.25">
      <c r="BI500" s="2">
        <f t="shared" si="53"/>
        <v>41.500000000000085</v>
      </c>
      <c r="BJ500" s="1">
        <f t="shared" si="54"/>
        <v>-66762.209713736534</v>
      </c>
      <c r="BK500" s="1">
        <f t="shared" si="55"/>
        <v>-85647.989534827735</v>
      </c>
      <c r="BL500" s="26">
        <f t="shared" si="50"/>
        <v>0</v>
      </c>
      <c r="BM500" s="26">
        <f t="shared" si="56"/>
        <v>0</v>
      </c>
      <c r="BN500">
        <f t="shared" si="51"/>
        <v>41.500000000000085</v>
      </c>
      <c r="BO500">
        <f t="shared" si="52"/>
        <v>41.500000000000085</v>
      </c>
    </row>
    <row r="501" spans="61:67" x14ac:dyDescent="0.25">
      <c r="BI501" s="2">
        <f t="shared" si="53"/>
        <v>41.583333333333421</v>
      </c>
      <c r="BJ501" s="1">
        <f t="shared" si="54"/>
        <v>-67767.460514235107</v>
      </c>
      <c r="BK501" s="1">
        <f t="shared" si="55"/>
        <v>-86702.81550735666</v>
      </c>
      <c r="BL501" s="26">
        <f t="shared" si="50"/>
        <v>0</v>
      </c>
      <c r="BM501" s="26">
        <f t="shared" si="56"/>
        <v>0</v>
      </c>
      <c r="BN501">
        <f t="shared" si="51"/>
        <v>41.583333333333421</v>
      </c>
      <c r="BO501">
        <f t="shared" si="52"/>
        <v>41.583333333333421</v>
      </c>
    </row>
    <row r="502" spans="61:67" x14ac:dyDescent="0.25">
      <c r="BI502" s="2">
        <f t="shared" si="53"/>
        <v>41.666666666666757</v>
      </c>
      <c r="BJ502" s="1">
        <f t="shared" si="54"/>
        <v>-68775.350098084979</v>
      </c>
      <c r="BK502" s="1">
        <f t="shared" si="55"/>
        <v>-87760.410398063483</v>
      </c>
      <c r="BL502" s="26">
        <f t="shared" si="50"/>
        <v>0</v>
      </c>
      <c r="BM502" s="26">
        <f t="shared" si="56"/>
        <v>0</v>
      </c>
      <c r="BN502">
        <f t="shared" si="51"/>
        <v>41.666666666666757</v>
      </c>
      <c r="BO502">
        <f t="shared" si="52"/>
        <v>41.666666666666757</v>
      </c>
    </row>
    <row r="503" spans="61:67" x14ac:dyDescent="0.25">
      <c r="BI503" s="2">
        <f t="shared" si="53"/>
        <v>41.750000000000092</v>
      </c>
      <c r="BJ503" s="1">
        <f t="shared" si="54"/>
        <v>-69785.885392092459</v>
      </c>
      <c r="BK503" s="1">
        <f t="shared" si="55"/>
        <v>-88820.78147535841</v>
      </c>
      <c r="BL503" s="26">
        <f t="shared" si="50"/>
        <v>0</v>
      </c>
      <c r="BM503" s="26">
        <f t="shared" si="56"/>
        <v>0</v>
      </c>
      <c r="BN503">
        <f t="shared" si="51"/>
        <v>41.750000000000092</v>
      </c>
      <c r="BO503">
        <f t="shared" si="52"/>
        <v>41.750000000000092</v>
      </c>
    </row>
    <row r="504" spans="61:67" x14ac:dyDescent="0.25">
      <c r="BI504" s="2">
        <f t="shared" si="53"/>
        <v>41.833333333333428</v>
      </c>
      <c r="BJ504" s="1">
        <f t="shared" si="54"/>
        <v>-70799.073341246709</v>
      </c>
      <c r="BK504" s="1">
        <f t="shared" si="55"/>
        <v>-89883.93602673123</v>
      </c>
      <c r="BL504" s="26">
        <f t="shared" si="50"/>
        <v>0</v>
      </c>
      <c r="BM504" s="26">
        <f t="shared" si="56"/>
        <v>0</v>
      </c>
      <c r="BN504">
        <f t="shared" si="51"/>
        <v>41.833333333333428</v>
      </c>
      <c r="BO504">
        <f t="shared" si="52"/>
        <v>41.833333333333428</v>
      </c>
    </row>
    <row r="505" spans="61:67" x14ac:dyDescent="0.25">
      <c r="BI505" s="2">
        <f t="shared" si="53"/>
        <v>41.916666666666764</v>
      </c>
      <c r="BJ505" s="1">
        <f t="shared" si="54"/>
        <v>-71814.920908767483</v>
      </c>
      <c r="BK505" s="1">
        <f t="shared" si="55"/>
        <v>-90949.881358801402</v>
      </c>
      <c r="BL505" s="26">
        <f t="shared" si="50"/>
        <v>0</v>
      </c>
      <c r="BM505" s="26">
        <f t="shared" si="56"/>
        <v>0</v>
      </c>
      <c r="BN505">
        <f t="shared" si="51"/>
        <v>41.916666666666764</v>
      </c>
      <c r="BO505">
        <f t="shared" si="52"/>
        <v>41.916666666666764</v>
      </c>
    </row>
    <row r="506" spans="61:67" x14ac:dyDescent="0.25">
      <c r="BI506" s="2">
        <f t="shared" si="53"/>
        <v>42.000000000000099</v>
      </c>
      <c r="BJ506" s="1">
        <f t="shared" si="54"/>
        <v>-72833.435076153008</v>
      </c>
      <c r="BK506" s="1">
        <f t="shared" si="55"/>
        <v>-92018.624797368262</v>
      </c>
      <c r="BL506" s="26">
        <f t="shared" si="50"/>
        <v>0</v>
      </c>
      <c r="BM506" s="26">
        <f t="shared" si="56"/>
        <v>0</v>
      </c>
      <c r="BN506">
        <f t="shared" si="51"/>
        <v>42.000000000000099</v>
      </c>
      <c r="BO506">
        <f t="shared" si="52"/>
        <v>42.000000000000099</v>
      </c>
    </row>
    <row r="507" spans="61:67" x14ac:dyDescent="0.25">
      <c r="BI507" s="2">
        <f t="shared" si="53"/>
        <v>42.083333333333435</v>
      </c>
      <c r="BJ507" s="1">
        <f t="shared" si="54"/>
        <v>-73854.622843227917</v>
      </c>
      <c r="BK507" s="1">
        <f t="shared" si="55"/>
        <v>-93090.173687461356</v>
      </c>
      <c r="BL507" s="26">
        <f t="shared" si="50"/>
        <v>0</v>
      </c>
      <c r="BM507" s="26">
        <f t="shared" si="56"/>
        <v>0</v>
      </c>
      <c r="BN507">
        <f t="shared" si="51"/>
        <v>42.083333333333435</v>
      </c>
      <c r="BO507">
        <f t="shared" si="52"/>
        <v>42.083333333333435</v>
      </c>
    </row>
    <row r="508" spans="61:67" x14ac:dyDescent="0.25">
      <c r="BI508" s="2">
        <f t="shared" si="53"/>
        <v>42.166666666666771</v>
      </c>
      <c r="BJ508" s="1">
        <f t="shared" si="54"/>
        <v>-74878.4912281914</v>
      </c>
      <c r="BK508" s="1">
        <f t="shared" si="55"/>
        <v>-94164.53539339095</v>
      </c>
      <c r="BL508" s="26">
        <f t="shared" si="50"/>
        <v>0</v>
      </c>
      <c r="BM508" s="26">
        <f t="shared" si="56"/>
        <v>0</v>
      </c>
      <c r="BN508">
        <f t="shared" si="51"/>
        <v>42.166666666666771</v>
      </c>
      <c r="BO508">
        <f t="shared" si="52"/>
        <v>42.166666666666771</v>
      </c>
    </row>
    <row r="509" spans="61:67" x14ac:dyDescent="0.25">
      <c r="BI509" s="2">
        <f t="shared" si="53"/>
        <v>42.250000000000107</v>
      </c>
      <c r="BJ509" s="1">
        <f t="shared" si="54"/>
        <v>-75905.047267665417</v>
      </c>
      <c r="BK509" s="1">
        <f t="shared" si="55"/>
        <v>-95241.717298798612</v>
      </c>
      <c r="BL509" s="26">
        <f t="shared" si="50"/>
        <v>0</v>
      </c>
      <c r="BM509" s="26">
        <f t="shared" si="56"/>
        <v>0</v>
      </c>
      <c r="BN509">
        <f t="shared" si="51"/>
        <v>42.250000000000107</v>
      </c>
      <c r="BO509">
        <f t="shared" si="52"/>
        <v>42.250000000000107</v>
      </c>
    </row>
    <row r="510" spans="61:67" x14ac:dyDescent="0.25">
      <c r="BI510" s="2">
        <f t="shared" si="53"/>
        <v>42.333333333333442</v>
      </c>
      <c r="BJ510" s="1">
        <f t="shared" si="54"/>
        <v>-76934.298016743051</v>
      </c>
      <c r="BK510" s="1">
        <f t="shared" si="55"/>
        <v>-96321.726806707971</v>
      </c>
      <c r="BL510" s="26">
        <f t="shared" si="50"/>
        <v>0</v>
      </c>
      <c r="BM510" s="26">
        <f t="shared" si="56"/>
        <v>0</v>
      </c>
      <c r="BN510">
        <f t="shared" si="51"/>
        <v>42.333333333333442</v>
      </c>
      <c r="BO510">
        <f t="shared" si="52"/>
        <v>42.333333333333442</v>
      </c>
    </row>
    <row r="511" spans="61:67" x14ac:dyDescent="0.25">
      <c r="BI511" s="2">
        <f t="shared" si="53"/>
        <v>42.416666666666778</v>
      </c>
      <c r="BJ511" s="1">
        <f t="shared" si="54"/>
        <v>-77966.250549037009</v>
      </c>
      <c r="BK511" s="1">
        <f t="shared" si="55"/>
        <v>-97404.571339575588</v>
      </c>
      <c r="BL511" s="26">
        <f t="shared" si="50"/>
        <v>0</v>
      </c>
      <c r="BM511" s="26">
        <f t="shared" si="56"/>
        <v>0</v>
      </c>
      <c r="BN511">
        <f t="shared" si="51"/>
        <v>42.416666666666778</v>
      </c>
      <c r="BO511">
        <f t="shared" si="52"/>
        <v>42.416666666666778</v>
      </c>
    </row>
    <row r="512" spans="61:67" x14ac:dyDescent="0.25">
      <c r="BI512" s="2">
        <f t="shared" si="53"/>
        <v>42.500000000000114</v>
      </c>
      <c r="BJ512" s="1">
        <f t="shared" si="54"/>
        <v>-79000.911956728232</v>
      </c>
      <c r="BK512" s="1">
        <f t="shared" si="55"/>
        <v>-98490.258339341977</v>
      </c>
      <c r="BL512" s="26">
        <f t="shared" si="50"/>
        <v>0</v>
      </c>
      <c r="BM512" s="26">
        <f t="shared" si="56"/>
        <v>0</v>
      </c>
      <c r="BN512">
        <f t="shared" si="51"/>
        <v>42.500000000000114</v>
      </c>
      <c r="BO512">
        <f t="shared" si="52"/>
        <v>42.500000000000114</v>
      </c>
    </row>
    <row r="513" spans="61:67" x14ac:dyDescent="0.25">
      <c r="BI513" s="2">
        <f t="shared" si="53"/>
        <v>42.583333333333449</v>
      </c>
      <c r="BJ513" s="1">
        <f t="shared" si="54"/>
        <v>-80038.28935061465</v>
      </c>
      <c r="BK513" s="1">
        <f t="shared" si="55"/>
        <v>-99578.795267482754</v>
      </c>
      <c r="BL513" s="26">
        <f t="shared" si="50"/>
        <v>0</v>
      </c>
      <c r="BM513" s="26">
        <f t="shared" si="56"/>
        <v>0</v>
      </c>
      <c r="BN513">
        <f t="shared" si="51"/>
        <v>42.583333333333449</v>
      </c>
      <c r="BO513">
        <f t="shared" si="52"/>
        <v>42.583333333333449</v>
      </c>
    </row>
    <row r="514" spans="61:67" x14ac:dyDescent="0.25">
      <c r="BI514" s="2">
        <f t="shared" si="53"/>
        <v>42.666666666666785</v>
      </c>
      <c r="BJ514" s="1">
        <f t="shared" si="54"/>
        <v>-81078.389860160023</v>
      </c>
      <c r="BK514" s="1">
        <f t="shared" si="55"/>
        <v>-100670.1896050599</v>
      </c>
      <c r="BL514" s="26">
        <f t="shared" ref="BL514:BL577" si="57">IF(BI514&gt;$G$12,0,1)</f>
        <v>0</v>
      </c>
      <c r="BM514" s="26">
        <f t="shared" si="56"/>
        <v>0</v>
      </c>
      <c r="BN514">
        <f t="shared" ref="BN514:BN577" si="58">IF(BK514&lt;0,BI514,999)</f>
        <v>42.666666666666785</v>
      </c>
      <c r="BO514">
        <f t="shared" ref="BO514:BO577" si="59">IF(BJ514&lt;0,BI514,999)</f>
        <v>42.666666666666785</v>
      </c>
    </row>
    <row r="515" spans="61:67" x14ac:dyDescent="0.25">
      <c r="BI515" s="2">
        <f t="shared" ref="BI515:BI578" si="60">BI514+1/12</f>
        <v>42.750000000000121</v>
      </c>
      <c r="BJ515" s="1">
        <f t="shared" ref="BJ515:BJ578" si="61">BJ514*(1+$C$4/12) - $C$3</f>
        <v>-82121.220633542951</v>
      </c>
      <c r="BK515" s="1">
        <f t="shared" si="55"/>
        <v>-101764.44885277319</v>
      </c>
      <c r="BL515" s="26">
        <f t="shared" si="57"/>
        <v>0</v>
      </c>
      <c r="BM515" s="26">
        <f t="shared" si="56"/>
        <v>0</v>
      </c>
      <c r="BN515">
        <f t="shared" si="58"/>
        <v>42.750000000000121</v>
      </c>
      <c r="BO515">
        <f t="shared" si="59"/>
        <v>42.750000000000121</v>
      </c>
    </row>
    <row r="516" spans="61:67" x14ac:dyDescent="0.25">
      <c r="BI516" s="2">
        <f t="shared" si="60"/>
        <v>42.833333333333456</v>
      </c>
      <c r="BJ516" s="1">
        <f t="shared" si="61"/>
        <v>-83166.788837706015</v>
      </c>
      <c r="BK516" s="1">
        <f t="shared" ref="BK516:BK579" si="62">BK515*(1+$D$4/12)-$C$3-($D$3-$C$3)*BL516</f>
        <v>-102861.58053101173</v>
      </c>
      <c r="BL516" s="26">
        <f t="shared" si="57"/>
        <v>0</v>
      </c>
      <c r="BM516" s="26">
        <f t="shared" si="56"/>
        <v>0</v>
      </c>
      <c r="BN516">
        <f t="shared" si="58"/>
        <v>42.833333333333456</v>
      </c>
      <c r="BO516">
        <f t="shared" si="59"/>
        <v>42.833333333333456</v>
      </c>
    </row>
    <row r="517" spans="61:67" x14ac:dyDescent="0.25">
      <c r="BI517" s="2">
        <f t="shared" si="60"/>
        <v>42.916666666666792</v>
      </c>
      <c r="BJ517" s="1">
        <f t="shared" si="61"/>
        <v>-84215.101658405008</v>
      </c>
      <c r="BK517" s="1">
        <f t="shared" si="62"/>
        <v>-103961.59217990564</v>
      </c>
      <c r="BL517" s="26">
        <f t="shared" si="57"/>
        <v>0</v>
      </c>
      <c r="BM517" s="26">
        <f t="shared" si="56"/>
        <v>0</v>
      </c>
      <c r="BN517">
        <f t="shared" si="58"/>
        <v>42.916666666666792</v>
      </c>
      <c r="BO517">
        <f t="shared" si="59"/>
        <v>42.916666666666792</v>
      </c>
    </row>
    <row r="518" spans="61:67" x14ac:dyDescent="0.25">
      <c r="BI518" s="2">
        <f t="shared" si="60"/>
        <v>43.000000000000128</v>
      </c>
      <c r="BJ518" s="1">
        <f t="shared" si="61"/>
        <v>-85266.166300258337</v>
      </c>
      <c r="BK518" s="1">
        <f t="shared" si="62"/>
        <v>-105064.49135937791</v>
      </c>
      <c r="BL518" s="26">
        <f t="shared" si="57"/>
        <v>0</v>
      </c>
      <c r="BM518" s="26">
        <f t="shared" si="56"/>
        <v>0</v>
      </c>
      <c r="BN518">
        <f t="shared" si="58"/>
        <v>43.000000000000128</v>
      </c>
      <c r="BO518">
        <f t="shared" si="59"/>
        <v>43.000000000000128</v>
      </c>
    </row>
    <row r="519" spans="61:67" x14ac:dyDescent="0.25">
      <c r="BI519" s="2">
        <f t="shared" si="60"/>
        <v>43.083333333333464</v>
      </c>
      <c r="BJ519" s="1">
        <f t="shared" si="61"/>
        <v>-86319.989986796529</v>
      </c>
      <c r="BK519" s="1">
        <f t="shared" si="62"/>
        <v>-106170.28564919629</v>
      </c>
      <c r="BL519" s="26">
        <f t="shared" si="57"/>
        <v>0</v>
      </c>
      <c r="BM519" s="26">
        <f t="shared" si="56"/>
        <v>0</v>
      </c>
      <c r="BN519">
        <f t="shared" si="58"/>
        <v>43.083333333333464</v>
      </c>
      <c r="BO519">
        <f t="shared" si="59"/>
        <v>43.083333333333464</v>
      </c>
    </row>
    <row r="520" spans="61:67" x14ac:dyDescent="0.25">
      <c r="BI520" s="2">
        <f t="shared" si="60"/>
        <v>43.166666666666799</v>
      </c>
      <c r="BJ520" s="1">
        <f t="shared" si="61"/>
        <v>-87376.579960511881</v>
      </c>
      <c r="BK520" s="1">
        <f t="shared" si="62"/>
        <v>-107278.98264902543</v>
      </c>
      <c r="BL520" s="26">
        <f t="shared" si="57"/>
        <v>0</v>
      </c>
      <c r="BM520" s="26">
        <f t="shared" si="56"/>
        <v>0</v>
      </c>
      <c r="BN520">
        <f t="shared" si="58"/>
        <v>43.166666666666799</v>
      </c>
      <c r="BO520">
        <f t="shared" si="59"/>
        <v>43.166666666666799</v>
      </c>
    </row>
    <row r="521" spans="61:67" x14ac:dyDescent="0.25">
      <c r="BI521" s="2">
        <f t="shared" si="60"/>
        <v>43.250000000000135</v>
      </c>
      <c r="BJ521" s="1">
        <f t="shared" si="61"/>
        <v>-88435.943482908231</v>
      </c>
      <c r="BK521" s="1">
        <f t="shared" si="62"/>
        <v>-108390.58997847914</v>
      </c>
      <c r="BL521" s="26">
        <f t="shared" si="57"/>
        <v>0</v>
      </c>
      <c r="BM521" s="26">
        <f t="shared" si="56"/>
        <v>0</v>
      </c>
      <c r="BN521">
        <f t="shared" si="58"/>
        <v>43.250000000000135</v>
      </c>
      <c r="BO521">
        <f t="shared" si="59"/>
        <v>43.250000000000135</v>
      </c>
    </row>
    <row r="522" spans="61:67" x14ac:dyDescent="0.25">
      <c r="BI522" s="2">
        <f t="shared" si="60"/>
        <v>43.333333333333471</v>
      </c>
      <c r="BJ522" s="1">
        <f t="shared" si="61"/>
        <v>-89498.087834550868</v>
      </c>
      <c r="BK522" s="1">
        <f t="shared" si="62"/>
        <v>-109505.11527717266</v>
      </c>
      <c r="BL522" s="26">
        <f t="shared" si="57"/>
        <v>0</v>
      </c>
      <c r="BM522" s="26">
        <f t="shared" si="56"/>
        <v>0</v>
      </c>
      <c r="BN522">
        <f t="shared" si="58"/>
        <v>43.333333333333471</v>
      </c>
      <c r="BO522">
        <f t="shared" si="59"/>
        <v>43.333333333333471</v>
      </c>
    </row>
    <row r="523" spans="61:67" x14ac:dyDescent="0.25">
      <c r="BI523" s="2">
        <f t="shared" si="60"/>
        <v>43.416666666666806</v>
      </c>
      <c r="BJ523" s="1">
        <f t="shared" si="61"/>
        <v>-90563.020315116577</v>
      </c>
      <c r="BK523" s="1">
        <f t="shared" si="62"/>
        <v>-110622.56620477526</v>
      </c>
      <c r="BL523" s="26">
        <f t="shared" si="57"/>
        <v>0</v>
      </c>
      <c r="BM523" s="26">
        <f t="shared" si="56"/>
        <v>0</v>
      </c>
      <c r="BN523">
        <f t="shared" si="58"/>
        <v>43.416666666666806</v>
      </c>
      <c r="BO523">
        <f t="shared" si="59"/>
        <v>43.416666666666806</v>
      </c>
    </row>
    <row r="524" spans="61:67" x14ac:dyDescent="0.25">
      <c r="BI524" s="2">
        <f t="shared" si="60"/>
        <v>43.500000000000142</v>
      </c>
      <c r="BJ524" s="1">
        <f t="shared" si="61"/>
        <v>-91630.74824344377</v>
      </c>
      <c r="BK524" s="1">
        <f t="shared" si="62"/>
        <v>-111742.9504410628</v>
      </c>
      <c r="BL524" s="26">
        <f t="shared" si="57"/>
        <v>0</v>
      </c>
      <c r="BM524" s="26">
        <f t="shared" si="56"/>
        <v>0</v>
      </c>
      <c r="BN524">
        <f t="shared" si="58"/>
        <v>43.500000000000142</v>
      </c>
      <c r="BO524">
        <f t="shared" si="59"/>
        <v>43.500000000000142</v>
      </c>
    </row>
    <row r="525" spans="61:67" x14ac:dyDescent="0.25">
      <c r="BI525" s="2">
        <f t="shared" si="60"/>
        <v>43.583333333333478</v>
      </c>
      <c r="BJ525" s="1">
        <f t="shared" si="61"/>
        <v>-92701.278957582821</v>
      </c>
      <c r="BK525" s="1">
        <f t="shared" si="62"/>
        <v>-112866.2756859706</v>
      </c>
      <c r="BL525" s="26">
        <f t="shared" si="57"/>
        <v>0</v>
      </c>
      <c r="BM525" s="26">
        <f t="shared" si="56"/>
        <v>0</v>
      </c>
      <c r="BN525">
        <f t="shared" si="58"/>
        <v>43.583333333333478</v>
      </c>
      <c r="BO525">
        <f t="shared" si="59"/>
        <v>43.583333333333478</v>
      </c>
    </row>
    <row r="526" spans="61:67" x14ac:dyDescent="0.25">
      <c r="BI526" s="2">
        <f t="shared" si="60"/>
        <v>43.666666666666814</v>
      </c>
      <c r="BJ526" s="1">
        <f t="shared" si="61"/>
        <v>-93774.61981484649</v>
      </c>
      <c r="BK526" s="1">
        <f t="shared" si="62"/>
        <v>-113992.54965964628</v>
      </c>
      <c r="BL526" s="26">
        <f t="shared" si="57"/>
        <v>0</v>
      </c>
      <c r="BM526" s="26">
        <f t="shared" si="56"/>
        <v>0</v>
      </c>
      <c r="BN526">
        <f t="shared" si="58"/>
        <v>43.666666666666814</v>
      </c>
      <c r="BO526">
        <f t="shared" si="59"/>
        <v>43.666666666666814</v>
      </c>
    </row>
    <row r="527" spans="61:67" x14ac:dyDescent="0.25">
      <c r="BI527" s="2">
        <f t="shared" si="60"/>
        <v>43.750000000000149</v>
      </c>
      <c r="BJ527" s="1">
        <f t="shared" si="61"/>
        <v>-94850.778191860474</v>
      </c>
      <c r="BK527" s="1">
        <f t="shared" si="62"/>
        <v>-115121.78010250286</v>
      </c>
      <c r="BL527" s="26">
        <f t="shared" si="57"/>
        <v>0</v>
      </c>
      <c r="BM527" s="26">
        <f t="shared" si="56"/>
        <v>0</v>
      </c>
      <c r="BN527">
        <f t="shared" si="58"/>
        <v>43.750000000000149</v>
      </c>
      <c r="BO527">
        <f t="shared" si="59"/>
        <v>43.750000000000149</v>
      </c>
    </row>
    <row r="528" spans="61:67" x14ac:dyDescent="0.25">
      <c r="BI528" s="2">
        <f t="shared" si="60"/>
        <v>43.833333333333485</v>
      </c>
      <c r="BJ528" s="1">
        <f t="shared" si="61"/>
        <v>-95929.761484614122</v>
      </c>
      <c r="BK528" s="1">
        <f t="shared" si="62"/>
        <v>-116253.97477527194</v>
      </c>
      <c r="BL528" s="26">
        <f t="shared" si="57"/>
        <v>0</v>
      </c>
      <c r="BM528" s="26">
        <f t="shared" si="56"/>
        <v>0</v>
      </c>
      <c r="BN528">
        <f t="shared" si="58"/>
        <v>43.833333333333485</v>
      </c>
      <c r="BO528">
        <f t="shared" si="59"/>
        <v>43.833333333333485</v>
      </c>
    </row>
    <row r="529" spans="61:67" x14ac:dyDescent="0.25">
      <c r="BI529" s="2">
        <f t="shared" si="60"/>
        <v>43.916666666666821</v>
      </c>
      <c r="BJ529" s="1">
        <f t="shared" si="61"/>
        <v>-97011.57710851125</v>
      </c>
      <c r="BK529" s="1">
        <f t="shared" si="62"/>
        <v>-117389.14145905703</v>
      </c>
      <c r="BL529" s="26">
        <f t="shared" si="57"/>
        <v>0</v>
      </c>
      <c r="BM529" s="26">
        <f t="shared" si="56"/>
        <v>0</v>
      </c>
      <c r="BN529">
        <f t="shared" si="58"/>
        <v>43.916666666666821</v>
      </c>
      <c r="BO529">
        <f t="shared" si="59"/>
        <v>43.916666666666821</v>
      </c>
    </row>
    <row r="530" spans="61:67" x14ac:dyDescent="0.25">
      <c r="BI530" s="2">
        <f t="shared" si="60"/>
        <v>44.000000000000156</v>
      </c>
      <c r="BJ530" s="1">
        <f t="shared" si="61"/>
        <v>-98096.232498421101</v>
      </c>
      <c r="BK530" s="1">
        <f t="shared" si="62"/>
        <v>-118527.28795538707</v>
      </c>
      <c r="BL530" s="26">
        <f t="shared" si="57"/>
        <v>0</v>
      </c>
      <c r="BM530" s="26">
        <f t="shared" si="56"/>
        <v>0</v>
      </c>
      <c r="BN530">
        <f t="shared" si="58"/>
        <v>44.000000000000156</v>
      </c>
      <c r="BO530">
        <f t="shared" si="59"/>
        <v>44.000000000000156</v>
      </c>
    </row>
    <row r="531" spans="61:67" x14ac:dyDescent="0.25">
      <c r="BI531" s="2">
        <f t="shared" si="60"/>
        <v>44.083333333333492</v>
      </c>
      <c r="BJ531" s="1">
        <f t="shared" si="61"/>
        <v>-99183.735108729466</v>
      </c>
      <c r="BK531" s="1">
        <f t="shared" si="62"/>
        <v>-119668.42208626997</v>
      </c>
      <c r="BL531" s="26">
        <f t="shared" si="57"/>
        <v>0</v>
      </c>
      <c r="BM531" s="26">
        <f t="shared" si="56"/>
        <v>0</v>
      </c>
      <c r="BN531">
        <f t="shared" si="58"/>
        <v>44.083333333333492</v>
      </c>
      <c r="BO531">
        <f t="shared" si="59"/>
        <v>44.083333333333492</v>
      </c>
    </row>
    <row r="532" spans="61:67" x14ac:dyDescent="0.25">
      <c r="BI532" s="2">
        <f t="shared" si="60"/>
        <v>44.166666666666828</v>
      </c>
      <c r="BJ532" s="1">
        <f t="shared" si="61"/>
        <v>-100274.0924133899</v>
      </c>
      <c r="BK532" s="1">
        <f t="shared" si="62"/>
        <v>-120812.55169424645</v>
      </c>
      <c r="BL532" s="26">
        <f t="shared" si="57"/>
        <v>0</v>
      </c>
      <c r="BM532" s="26">
        <f t="shared" si="56"/>
        <v>0</v>
      </c>
      <c r="BN532">
        <f t="shared" si="58"/>
        <v>44.166666666666828</v>
      </c>
      <c r="BO532">
        <f t="shared" si="59"/>
        <v>44.166666666666828</v>
      </c>
    </row>
    <row r="533" spans="61:67" x14ac:dyDescent="0.25">
      <c r="BI533" s="2">
        <f t="shared" si="60"/>
        <v>44.250000000000163</v>
      </c>
      <c r="BJ533" s="1">
        <f t="shared" si="61"/>
        <v>-101367.31190597506</v>
      </c>
      <c r="BK533" s="1">
        <f t="shared" si="62"/>
        <v>-121959.68464244386</v>
      </c>
      <c r="BL533" s="26">
        <f t="shared" si="57"/>
        <v>0</v>
      </c>
      <c r="BM533" s="26">
        <f t="shared" si="56"/>
        <v>0</v>
      </c>
      <c r="BN533">
        <f t="shared" si="58"/>
        <v>44.250000000000163</v>
      </c>
      <c r="BO533">
        <f t="shared" si="59"/>
        <v>44.250000000000163</v>
      </c>
    </row>
    <row r="534" spans="61:67" x14ac:dyDescent="0.25">
      <c r="BI534" s="2">
        <f t="shared" si="60"/>
        <v>44.333333333333499</v>
      </c>
      <c r="BJ534" s="1">
        <f t="shared" si="61"/>
        <v>-102463.40109972826</v>
      </c>
      <c r="BK534" s="1">
        <f t="shared" si="62"/>
        <v>-123109.82881463028</v>
      </c>
      <c r="BL534" s="26">
        <f t="shared" si="57"/>
        <v>0</v>
      </c>
      <c r="BM534" s="26">
        <f t="shared" si="56"/>
        <v>0</v>
      </c>
      <c r="BN534">
        <f t="shared" si="58"/>
        <v>44.333333333333499</v>
      </c>
      <c r="BO534">
        <f t="shared" si="59"/>
        <v>44.333333333333499</v>
      </c>
    </row>
    <row r="535" spans="61:67" x14ac:dyDescent="0.25">
      <c r="BI535" s="2">
        <f t="shared" si="60"/>
        <v>44.416666666666835</v>
      </c>
      <c r="BJ535" s="1">
        <f t="shared" si="61"/>
        <v>-103562.36752761506</v>
      </c>
      <c r="BK535" s="1">
        <f t="shared" si="62"/>
        <v>-124262.9921152687</v>
      </c>
      <c r="BL535" s="26">
        <f t="shared" si="57"/>
        <v>0</v>
      </c>
      <c r="BM535" s="26">
        <f t="shared" si="56"/>
        <v>0</v>
      </c>
      <c r="BN535">
        <f t="shared" si="58"/>
        <v>44.416666666666835</v>
      </c>
      <c r="BO535">
        <f t="shared" si="59"/>
        <v>44.416666666666835</v>
      </c>
    </row>
    <row r="536" spans="61:67" x14ac:dyDescent="0.25">
      <c r="BI536" s="2">
        <f t="shared" si="60"/>
        <v>44.500000000000171</v>
      </c>
      <c r="BJ536" s="1">
        <f t="shared" si="61"/>
        <v>-104664.21874237506</v>
      </c>
      <c r="BK536" s="1">
        <f t="shared" si="62"/>
        <v>-125419.1824695713</v>
      </c>
      <c r="BL536" s="26">
        <f t="shared" si="57"/>
        <v>0</v>
      </c>
      <c r="BM536" s="26">
        <f t="shared" si="56"/>
        <v>0</v>
      </c>
      <c r="BN536">
        <f t="shared" si="58"/>
        <v>44.500000000000171</v>
      </c>
      <c r="BO536">
        <f t="shared" si="59"/>
        <v>44.500000000000171</v>
      </c>
    </row>
    <row r="537" spans="61:67" x14ac:dyDescent="0.25">
      <c r="BI537" s="2">
        <f t="shared" si="60"/>
        <v>44.583333333333506</v>
      </c>
      <c r="BJ537" s="1">
        <f t="shared" si="61"/>
        <v>-105768.9623165738</v>
      </c>
      <c r="BK537" s="1">
        <f t="shared" si="62"/>
        <v>-126578.40782355393</v>
      </c>
      <c r="BL537" s="26">
        <f t="shared" si="57"/>
        <v>0</v>
      </c>
      <c r="BM537" s="26">
        <f t="shared" si="56"/>
        <v>0</v>
      </c>
      <c r="BN537">
        <f t="shared" si="58"/>
        <v>44.583333333333506</v>
      </c>
      <c r="BO537">
        <f t="shared" si="59"/>
        <v>44.583333333333506</v>
      </c>
    </row>
    <row r="538" spans="61:67" x14ac:dyDescent="0.25">
      <c r="BI538" s="2">
        <f t="shared" si="60"/>
        <v>44.666666666666842</v>
      </c>
      <c r="BJ538" s="1">
        <f t="shared" si="61"/>
        <v>-106876.60584265481</v>
      </c>
      <c r="BK538" s="1">
        <f t="shared" si="62"/>
        <v>-127740.67614409077</v>
      </c>
      <c r="BL538" s="26">
        <f t="shared" si="57"/>
        <v>0</v>
      </c>
      <c r="BM538" s="26">
        <f t="shared" si="56"/>
        <v>0</v>
      </c>
      <c r="BN538">
        <f t="shared" si="58"/>
        <v>44.666666666666842</v>
      </c>
      <c r="BO538">
        <f t="shared" si="59"/>
        <v>44.666666666666842</v>
      </c>
    </row>
    <row r="539" spans="61:67" x14ac:dyDescent="0.25">
      <c r="BI539" s="2">
        <f t="shared" si="60"/>
        <v>44.750000000000178</v>
      </c>
      <c r="BJ539" s="1">
        <f t="shared" si="61"/>
        <v>-107987.15693299178</v>
      </c>
      <c r="BK539" s="1">
        <f t="shared" si="62"/>
        <v>-128905.99541896902</v>
      </c>
      <c r="BL539" s="26">
        <f t="shared" si="57"/>
        <v>0</v>
      </c>
      <c r="BM539" s="26">
        <f t="shared" ref="BM539:BM602" si="63">IF(AND(BL539&gt;0,BK539&gt;0),1,0)</f>
        <v>0</v>
      </c>
      <c r="BN539">
        <f t="shared" si="58"/>
        <v>44.750000000000178</v>
      </c>
      <c r="BO539">
        <f t="shared" si="59"/>
        <v>44.750000000000178</v>
      </c>
    </row>
    <row r="540" spans="61:67" x14ac:dyDescent="0.25">
      <c r="BI540" s="2">
        <f t="shared" si="60"/>
        <v>44.833333333333513</v>
      </c>
      <c r="BJ540" s="1">
        <f t="shared" si="61"/>
        <v>-109100.6232199409</v>
      </c>
      <c r="BK540" s="1">
        <f t="shared" si="62"/>
        <v>-130074.37365694382</v>
      </c>
      <c r="BL540" s="26">
        <f t="shared" si="57"/>
        <v>0</v>
      </c>
      <c r="BM540" s="26">
        <f t="shared" si="63"/>
        <v>0</v>
      </c>
      <c r="BN540">
        <f t="shared" si="58"/>
        <v>44.833333333333513</v>
      </c>
      <c r="BO540">
        <f t="shared" si="59"/>
        <v>44.833333333333513</v>
      </c>
    </row>
    <row r="541" spans="61:67" x14ac:dyDescent="0.25">
      <c r="BI541" s="2">
        <f t="shared" si="60"/>
        <v>44.916666666666849</v>
      </c>
      <c r="BJ541" s="1">
        <f t="shared" si="61"/>
        <v>-110217.01235589325</v>
      </c>
      <c r="BK541" s="1">
        <f t="shared" si="62"/>
        <v>-131245.81888779331</v>
      </c>
      <c r="BL541" s="26">
        <f t="shared" si="57"/>
        <v>0</v>
      </c>
      <c r="BM541" s="26">
        <f t="shared" si="63"/>
        <v>0</v>
      </c>
      <c r="BN541">
        <f t="shared" si="58"/>
        <v>44.916666666666849</v>
      </c>
      <c r="BO541">
        <f t="shared" si="59"/>
        <v>44.916666666666849</v>
      </c>
    </row>
    <row r="542" spans="61:67" x14ac:dyDescent="0.25">
      <c r="BI542" s="2">
        <f t="shared" si="60"/>
        <v>45.000000000000185</v>
      </c>
      <c r="BJ542" s="1">
        <f t="shared" si="61"/>
        <v>-111336.33201332748</v>
      </c>
      <c r="BK542" s="1">
        <f t="shared" si="62"/>
        <v>-132420.33916237377</v>
      </c>
      <c r="BL542" s="26">
        <f t="shared" si="57"/>
        <v>0</v>
      </c>
      <c r="BM542" s="26">
        <f t="shared" si="63"/>
        <v>0</v>
      </c>
      <c r="BN542">
        <f t="shared" si="58"/>
        <v>45.000000000000185</v>
      </c>
      <c r="BO542">
        <f t="shared" si="59"/>
        <v>45.000000000000185</v>
      </c>
    </row>
    <row r="543" spans="61:67" x14ac:dyDescent="0.25">
      <c r="BI543" s="2">
        <f t="shared" si="60"/>
        <v>45.08333333333352</v>
      </c>
      <c r="BJ543" s="1">
        <f t="shared" si="61"/>
        <v>-112458.58988486248</v>
      </c>
      <c r="BK543" s="1">
        <f t="shared" si="62"/>
        <v>-133597.94255267503</v>
      </c>
      <c r="BL543" s="26">
        <f t="shared" si="57"/>
        <v>0</v>
      </c>
      <c r="BM543" s="26">
        <f t="shared" si="63"/>
        <v>0</v>
      </c>
      <c r="BN543">
        <f t="shared" si="58"/>
        <v>45.08333333333352</v>
      </c>
      <c r="BO543">
        <f t="shared" si="59"/>
        <v>45.08333333333352</v>
      </c>
    </row>
    <row r="544" spans="61:67" x14ac:dyDescent="0.25">
      <c r="BI544" s="2">
        <f t="shared" si="60"/>
        <v>45.166666666666856</v>
      </c>
      <c r="BJ544" s="1">
        <f t="shared" si="61"/>
        <v>-113583.79368331026</v>
      </c>
      <c r="BK544" s="1">
        <f t="shared" si="62"/>
        <v>-134778.63715187582</v>
      </c>
      <c r="BL544" s="26">
        <f t="shared" si="57"/>
        <v>0</v>
      </c>
      <c r="BM544" s="26">
        <f t="shared" si="63"/>
        <v>0</v>
      </c>
      <c r="BN544">
        <f t="shared" si="58"/>
        <v>45.166666666666856</v>
      </c>
      <c r="BO544">
        <f t="shared" si="59"/>
        <v>45.166666666666856</v>
      </c>
    </row>
    <row r="545" spans="61:67" x14ac:dyDescent="0.25">
      <c r="BI545" s="2">
        <f t="shared" si="60"/>
        <v>45.250000000000192</v>
      </c>
      <c r="BJ545" s="1">
        <f t="shared" si="61"/>
        <v>-114711.95114172896</v>
      </c>
      <c r="BK545" s="1">
        <f t="shared" si="62"/>
        <v>-135962.4310743995</v>
      </c>
      <c r="BL545" s="26">
        <f t="shared" si="57"/>
        <v>0</v>
      </c>
      <c r="BM545" s="26">
        <f t="shared" si="63"/>
        <v>0</v>
      </c>
      <c r="BN545">
        <f t="shared" si="58"/>
        <v>45.250000000000192</v>
      </c>
      <c r="BO545">
        <f t="shared" si="59"/>
        <v>45.250000000000192</v>
      </c>
    </row>
    <row r="546" spans="61:67" x14ac:dyDescent="0.25">
      <c r="BI546" s="2">
        <f t="shared" si="60"/>
        <v>45.333333333333528</v>
      </c>
      <c r="BJ546" s="1">
        <f t="shared" si="61"/>
        <v>-115843.07001347601</v>
      </c>
      <c r="BK546" s="1">
        <f t="shared" si="62"/>
        <v>-137149.33245596982</v>
      </c>
      <c r="BL546" s="26">
        <f t="shared" si="57"/>
        <v>0</v>
      </c>
      <c r="BM546" s="26">
        <f t="shared" si="63"/>
        <v>0</v>
      </c>
      <c r="BN546">
        <f t="shared" si="58"/>
        <v>45.333333333333528</v>
      </c>
      <c r="BO546">
        <f t="shared" si="59"/>
        <v>45.333333333333528</v>
      </c>
    </row>
    <row r="547" spans="61:67" x14ac:dyDescent="0.25">
      <c r="BI547" s="2">
        <f t="shared" si="60"/>
        <v>45.416666666666863</v>
      </c>
      <c r="BJ547" s="1">
        <f t="shared" si="61"/>
        <v>-116977.1580722614</v>
      </c>
      <c r="BK547" s="1">
        <f t="shared" si="62"/>
        <v>-138339.34945366677</v>
      </c>
      <c r="BL547" s="26">
        <f t="shared" si="57"/>
        <v>0</v>
      </c>
      <c r="BM547" s="26">
        <f t="shared" si="63"/>
        <v>0</v>
      </c>
      <c r="BN547">
        <f t="shared" si="58"/>
        <v>45.416666666666863</v>
      </c>
      <c r="BO547">
        <f t="shared" si="59"/>
        <v>45.416666666666863</v>
      </c>
    </row>
    <row r="548" spans="61:67" x14ac:dyDescent="0.25">
      <c r="BI548" s="2">
        <f t="shared" si="60"/>
        <v>45.500000000000199</v>
      </c>
      <c r="BJ548" s="1">
        <f t="shared" si="61"/>
        <v>-118114.2231122011</v>
      </c>
      <c r="BK548" s="1">
        <f t="shared" si="62"/>
        <v>-139532.49024598266</v>
      </c>
      <c r="BL548" s="26">
        <f t="shared" si="57"/>
        <v>0</v>
      </c>
      <c r="BM548" s="26">
        <f t="shared" si="63"/>
        <v>0</v>
      </c>
      <c r="BN548">
        <f t="shared" si="58"/>
        <v>45.500000000000199</v>
      </c>
      <c r="BO548">
        <f t="shared" si="59"/>
        <v>45.500000000000199</v>
      </c>
    </row>
    <row r="549" spans="61:67" x14ac:dyDescent="0.25">
      <c r="BI549" s="2">
        <f t="shared" si="60"/>
        <v>45.583333333333535</v>
      </c>
      <c r="BJ549" s="1">
        <f t="shared" si="61"/>
        <v>-119254.27294787065</v>
      </c>
      <c r="BK549" s="1">
        <f t="shared" si="62"/>
        <v>-140728.76303287837</v>
      </c>
      <c r="BL549" s="26">
        <f t="shared" si="57"/>
        <v>0</v>
      </c>
      <c r="BM549" s="26">
        <f t="shared" si="63"/>
        <v>0</v>
      </c>
      <c r="BN549">
        <f t="shared" si="58"/>
        <v>45.583333333333535</v>
      </c>
      <c r="BO549">
        <f t="shared" si="59"/>
        <v>45.583333333333535</v>
      </c>
    </row>
    <row r="550" spans="61:67" x14ac:dyDescent="0.25">
      <c r="BI550" s="2">
        <f t="shared" si="60"/>
        <v>45.66666666666687</v>
      </c>
      <c r="BJ550" s="1">
        <f t="shared" si="61"/>
        <v>-120397.31541435882</v>
      </c>
      <c r="BK550" s="1">
        <f t="shared" si="62"/>
        <v>-141928.17603583969</v>
      </c>
      <c r="BL550" s="26">
        <f t="shared" si="57"/>
        <v>0</v>
      </c>
      <c r="BM550" s="26">
        <f t="shared" si="63"/>
        <v>0</v>
      </c>
      <c r="BN550">
        <f t="shared" si="58"/>
        <v>45.66666666666687</v>
      </c>
      <c r="BO550">
        <f t="shared" si="59"/>
        <v>45.66666666666687</v>
      </c>
    </row>
    <row r="551" spans="61:67" x14ac:dyDescent="0.25">
      <c r="BI551" s="2">
        <f t="shared" si="60"/>
        <v>45.750000000000206</v>
      </c>
      <c r="BJ551" s="1">
        <f t="shared" si="61"/>
        <v>-121543.35836732152</v>
      </c>
      <c r="BK551" s="1">
        <f t="shared" si="62"/>
        <v>-143130.73749793379</v>
      </c>
      <c r="BL551" s="26">
        <f t="shared" si="57"/>
        <v>0</v>
      </c>
      <c r="BM551" s="26">
        <f t="shared" si="63"/>
        <v>0</v>
      </c>
      <c r="BN551">
        <f t="shared" si="58"/>
        <v>45.750000000000206</v>
      </c>
      <c r="BO551">
        <f t="shared" si="59"/>
        <v>45.750000000000206</v>
      </c>
    </row>
    <row r="552" spans="61:67" x14ac:dyDescent="0.25">
      <c r="BI552" s="2">
        <f t="shared" si="60"/>
        <v>45.833333333333542</v>
      </c>
      <c r="BJ552" s="1">
        <f t="shared" si="61"/>
        <v>-122692.40968303574</v>
      </c>
      <c r="BK552" s="1">
        <f t="shared" si="62"/>
        <v>-144336.45568386588</v>
      </c>
      <c r="BL552" s="26">
        <f t="shared" si="57"/>
        <v>0</v>
      </c>
      <c r="BM552" s="26">
        <f t="shared" si="63"/>
        <v>0</v>
      </c>
      <c r="BN552">
        <f t="shared" si="58"/>
        <v>45.833333333333542</v>
      </c>
      <c r="BO552">
        <f t="shared" si="59"/>
        <v>45.833333333333542</v>
      </c>
    </row>
    <row r="553" spans="61:67" x14ac:dyDescent="0.25">
      <c r="BI553" s="2">
        <f t="shared" si="60"/>
        <v>45.916666666666877</v>
      </c>
      <c r="BJ553" s="1">
        <f t="shared" si="61"/>
        <v>-123844.47725845373</v>
      </c>
      <c r="BK553" s="1">
        <f t="shared" si="62"/>
        <v>-145545.33888003603</v>
      </c>
      <c r="BL553" s="26">
        <f t="shared" si="57"/>
        <v>0</v>
      </c>
      <c r="BM553" s="26">
        <f t="shared" si="63"/>
        <v>0</v>
      </c>
      <c r="BN553">
        <f t="shared" si="58"/>
        <v>45.916666666666877</v>
      </c>
      <c r="BO553">
        <f t="shared" si="59"/>
        <v>45.916666666666877</v>
      </c>
    </row>
    <row r="554" spans="61:67" x14ac:dyDescent="0.25">
      <c r="BI554" s="2">
        <f t="shared" si="60"/>
        <v>46.000000000000213</v>
      </c>
      <c r="BJ554" s="1">
        <f t="shared" si="61"/>
        <v>-124999.56901125718</v>
      </c>
      <c r="BK554" s="1">
        <f t="shared" si="62"/>
        <v>-146757.39539459613</v>
      </c>
      <c r="BL554" s="26">
        <f t="shared" si="57"/>
        <v>0</v>
      </c>
      <c r="BM554" s="26">
        <f t="shared" si="63"/>
        <v>0</v>
      </c>
      <c r="BN554">
        <f t="shared" si="58"/>
        <v>46.000000000000213</v>
      </c>
      <c r="BO554">
        <f t="shared" si="59"/>
        <v>46.000000000000213</v>
      </c>
    </row>
    <row r="555" spans="61:67" x14ac:dyDescent="0.25">
      <c r="BI555" s="2">
        <f t="shared" si="60"/>
        <v>46.083333333333549</v>
      </c>
      <c r="BJ555" s="1">
        <f t="shared" si="61"/>
        <v>-126157.69287991174</v>
      </c>
      <c r="BK555" s="1">
        <f t="shared" si="62"/>
        <v>-147972.63355750695</v>
      </c>
      <c r="BL555" s="26">
        <f t="shared" si="57"/>
        <v>0</v>
      </c>
      <c r="BM555" s="26">
        <f t="shared" si="63"/>
        <v>0</v>
      </c>
      <c r="BN555">
        <f t="shared" si="58"/>
        <v>46.083333333333549</v>
      </c>
      <c r="BO555">
        <f t="shared" si="59"/>
        <v>46.083333333333549</v>
      </c>
    </row>
    <row r="556" spans="61:67" x14ac:dyDescent="0.25">
      <c r="BI556" s="2">
        <f t="shared" si="60"/>
        <v>46.166666666666885</v>
      </c>
      <c r="BJ556" s="1">
        <f t="shared" si="61"/>
        <v>-127318.85682372152</v>
      </c>
      <c r="BK556" s="1">
        <f t="shared" si="62"/>
        <v>-149191.06172059543</v>
      </c>
      <c r="BL556" s="26">
        <f t="shared" si="57"/>
        <v>0</v>
      </c>
      <c r="BM556" s="26">
        <f t="shared" si="63"/>
        <v>0</v>
      </c>
      <c r="BN556">
        <f t="shared" si="58"/>
        <v>46.166666666666885</v>
      </c>
      <c r="BO556">
        <f t="shared" si="59"/>
        <v>46.166666666666885</v>
      </c>
    </row>
    <row r="557" spans="61:67" x14ac:dyDescent="0.25">
      <c r="BI557" s="2">
        <f t="shared" si="60"/>
        <v>46.25000000000022</v>
      </c>
      <c r="BJ557" s="1">
        <f t="shared" si="61"/>
        <v>-128483.0688228838</v>
      </c>
      <c r="BK557" s="1">
        <f t="shared" si="62"/>
        <v>-150412.688257612</v>
      </c>
      <c r="BL557" s="26">
        <f t="shared" si="57"/>
        <v>0</v>
      </c>
      <c r="BM557" s="26">
        <f t="shared" si="63"/>
        <v>0</v>
      </c>
      <c r="BN557">
        <f t="shared" si="58"/>
        <v>46.25000000000022</v>
      </c>
      <c r="BO557">
        <f t="shared" si="59"/>
        <v>46.25000000000022</v>
      </c>
    </row>
    <row r="558" spans="61:67" x14ac:dyDescent="0.25">
      <c r="BI558" s="2">
        <f t="shared" si="60"/>
        <v>46.333333333333556</v>
      </c>
      <c r="BJ558" s="1">
        <f t="shared" si="61"/>
        <v>-129650.33687854388</v>
      </c>
      <c r="BK558" s="1">
        <f t="shared" si="62"/>
        <v>-151637.52156428824</v>
      </c>
      <c r="BL558" s="26">
        <f t="shared" si="57"/>
        <v>0</v>
      </c>
      <c r="BM558" s="26">
        <f t="shared" si="63"/>
        <v>0</v>
      </c>
      <c r="BN558">
        <f t="shared" si="58"/>
        <v>46.333333333333556</v>
      </c>
      <c r="BO558">
        <f t="shared" si="59"/>
        <v>46.333333333333556</v>
      </c>
    </row>
    <row r="559" spans="61:67" x14ac:dyDescent="0.25">
      <c r="BI559" s="2">
        <f t="shared" si="60"/>
        <v>46.416666666666892</v>
      </c>
      <c r="BJ559" s="1">
        <f t="shared" si="61"/>
        <v>-130820.66901285006</v>
      </c>
      <c r="BK559" s="1">
        <f t="shared" si="62"/>
        <v>-152865.57005839451</v>
      </c>
      <c r="BL559" s="26">
        <f t="shared" si="57"/>
        <v>0</v>
      </c>
      <c r="BM559" s="26">
        <f t="shared" si="63"/>
        <v>0</v>
      </c>
      <c r="BN559">
        <f t="shared" si="58"/>
        <v>46.416666666666892</v>
      </c>
      <c r="BO559">
        <f t="shared" si="59"/>
        <v>46.416666666666892</v>
      </c>
    </row>
    <row r="560" spans="61:67" x14ac:dyDescent="0.25">
      <c r="BI560" s="2">
        <f t="shared" si="60"/>
        <v>46.500000000000227</v>
      </c>
      <c r="BJ560" s="1">
        <f t="shared" si="61"/>
        <v>-131994.0732690088</v>
      </c>
      <c r="BK560" s="1">
        <f t="shared" si="62"/>
        <v>-154096.84217979782</v>
      </c>
      <c r="BL560" s="26">
        <f t="shared" si="57"/>
        <v>0</v>
      </c>
      <c r="BM560" s="26">
        <f t="shared" si="63"/>
        <v>0</v>
      </c>
      <c r="BN560">
        <f t="shared" si="58"/>
        <v>46.500000000000227</v>
      </c>
      <c r="BO560">
        <f t="shared" si="59"/>
        <v>46.500000000000227</v>
      </c>
    </row>
    <row r="561" spans="61:67" x14ac:dyDescent="0.25">
      <c r="BI561" s="2">
        <f t="shared" si="60"/>
        <v>46.583333333333563</v>
      </c>
      <c r="BJ561" s="1">
        <f t="shared" si="61"/>
        <v>-133170.55771133996</v>
      </c>
      <c r="BK561" s="1">
        <f t="shared" si="62"/>
        <v>-155331.34639051982</v>
      </c>
      <c r="BL561" s="26">
        <f t="shared" si="57"/>
        <v>0</v>
      </c>
      <c r="BM561" s="26">
        <f t="shared" si="63"/>
        <v>0</v>
      </c>
      <c r="BN561">
        <f t="shared" si="58"/>
        <v>46.583333333333563</v>
      </c>
      <c r="BO561">
        <f t="shared" si="59"/>
        <v>46.583333333333563</v>
      </c>
    </row>
    <row r="562" spans="61:67" x14ac:dyDescent="0.25">
      <c r="BI562" s="2">
        <f t="shared" si="60"/>
        <v>46.666666666666899</v>
      </c>
      <c r="BJ562" s="1">
        <f t="shared" si="61"/>
        <v>-134350.13042533223</v>
      </c>
      <c r="BK562" s="1">
        <f t="shared" si="62"/>
        <v>-156569.09117479494</v>
      </c>
      <c r="BL562" s="26">
        <f t="shared" si="57"/>
        <v>0</v>
      </c>
      <c r="BM562" s="26">
        <f t="shared" si="63"/>
        <v>0</v>
      </c>
      <c r="BN562">
        <f t="shared" si="58"/>
        <v>46.666666666666899</v>
      </c>
      <c r="BO562">
        <f t="shared" si="59"/>
        <v>46.666666666666899</v>
      </c>
    </row>
    <row r="563" spans="61:67" x14ac:dyDescent="0.25">
      <c r="BI563" s="2">
        <f t="shared" si="60"/>
        <v>46.750000000000234</v>
      </c>
      <c r="BJ563" s="1">
        <f t="shared" si="61"/>
        <v>-135532.79951769873</v>
      </c>
      <c r="BK563" s="1">
        <f t="shared" si="62"/>
        <v>-157810.08503912878</v>
      </c>
      <c r="BL563" s="26">
        <f t="shared" si="57"/>
        <v>0</v>
      </c>
      <c r="BM563" s="26">
        <f t="shared" si="63"/>
        <v>0</v>
      </c>
      <c r="BN563">
        <f t="shared" si="58"/>
        <v>46.750000000000234</v>
      </c>
      <c r="BO563">
        <f t="shared" si="59"/>
        <v>46.750000000000234</v>
      </c>
    </row>
    <row r="564" spans="61:67" x14ac:dyDescent="0.25">
      <c r="BI564" s="2">
        <f t="shared" si="60"/>
        <v>46.83333333333357</v>
      </c>
      <c r="BJ564" s="1">
        <f t="shared" si="61"/>
        <v>-136718.5731164327</v>
      </c>
      <c r="BK564" s="1">
        <f t="shared" si="62"/>
        <v>-159054.3365123565</v>
      </c>
      <c r="BL564" s="26">
        <f t="shared" si="57"/>
        <v>0</v>
      </c>
      <c r="BM564" s="26">
        <f t="shared" si="63"/>
        <v>0</v>
      </c>
      <c r="BN564">
        <f t="shared" si="58"/>
        <v>46.83333333333357</v>
      </c>
      <c r="BO564">
        <f t="shared" si="59"/>
        <v>46.83333333333357</v>
      </c>
    </row>
    <row r="565" spans="61:67" x14ac:dyDescent="0.25">
      <c r="BI565" s="2">
        <f t="shared" si="60"/>
        <v>46.916666666666906</v>
      </c>
      <c r="BJ565" s="1">
        <f t="shared" si="61"/>
        <v>-137907.45937086336</v>
      </c>
      <c r="BK565" s="1">
        <f t="shared" si="62"/>
        <v>-160301.85414570145</v>
      </c>
      <c r="BL565" s="26">
        <f t="shared" si="57"/>
        <v>0</v>
      </c>
      <c r="BM565" s="26">
        <f t="shared" si="63"/>
        <v>0</v>
      </c>
      <c r="BN565">
        <f t="shared" si="58"/>
        <v>46.916666666666906</v>
      </c>
      <c r="BO565">
        <f t="shared" si="59"/>
        <v>46.916666666666906</v>
      </c>
    </row>
    <row r="566" spans="61:67" x14ac:dyDescent="0.25">
      <c r="BI566" s="2">
        <f t="shared" si="60"/>
        <v>47.000000000000242</v>
      </c>
      <c r="BJ566" s="1">
        <f t="shared" si="61"/>
        <v>-139099.46645171189</v>
      </c>
      <c r="BK566" s="1">
        <f t="shared" si="62"/>
        <v>-161552.64651283392</v>
      </c>
      <c r="BL566" s="26">
        <f t="shared" si="57"/>
        <v>0</v>
      </c>
      <c r="BM566" s="26">
        <f t="shared" si="63"/>
        <v>0</v>
      </c>
      <c r="BN566">
        <f t="shared" si="58"/>
        <v>47.000000000000242</v>
      </c>
      <c r="BO566">
        <f t="shared" si="59"/>
        <v>47.000000000000242</v>
      </c>
    </row>
    <row r="567" spans="61:67" x14ac:dyDescent="0.25">
      <c r="BI567" s="2">
        <f t="shared" si="60"/>
        <v>47.083333333333577</v>
      </c>
      <c r="BJ567" s="1">
        <f t="shared" si="61"/>
        <v>-140294.60255114766</v>
      </c>
      <c r="BK567" s="1">
        <f t="shared" si="62"/>
        <v>-162806.72220993013</v>
      </c>
      <c r="BL567" s="26">
        <f t="shared" si="57"/>
        <v>0</v>
      </c>
      <c r="BM567" s="26">
        <f t="shared" si="63"/>
        <v>0</v>
      </c>
      <c r="BN567">
        <f t="shared" si="58"/>
        <v>47.083333333333577</v>
      </c>
      <c r="BO567">
        <f t="shared" si="59"/>
        <v>47.083333333333577</v>
      </c>
    </row>
    <row r="568" spans="61:67" x14ac:dyDescent="0.25">
      <c r="BI568" s="2">
        <f t="shared" si="60"/>
        <v>47.166666666666913</v>
      </c>
      <c r="BJ568" s="1">
        <f t="shared" si="61"/>
        <v>-141492.87588284444</v>
      </c>
      <c r="BK568" s="1">
        <f t="shared" si="62"/>
        <v>-164064.0898557312</v>
      </c>
      <c r="BL568" s="26">
        <f t="shared" si="57"/>
        <v>0</v>
      </c>
      <c r="BM568" s="26">
        <f t="shared" si="63"/>
        <v>0</v>
      </c>
      <c r="BN568">
        <f t="shared" si="58"/>
        <v>47.166666666666913</v>
      </c>
      <c r="BO568">
        <f t="shared" si="59"/>
        <v>47.166666666666913</v>
      </c>
    </row>
    <row r="569" spans="61:67" x14ac:dyDescent="0.25">
      <c r="BI569" s="2">
        <f t="shared" si="60"/>
        <v>47.250000000000249</v>
      </c>
      <c r="BJ569" s="1">
        <f t="shared" si="61"/>
        <v>-142694.29468203691</v>
      </c>
      <c r="BK569" s="1">
        <f t="shared" si="62"/>
        <v>-165324.7580916025</v>
      </c>
      <c r="BL569" s="26">
        <f t="shared" si="57"/>
        <v>0</v>
      </c>
      <c r="BM569" s="26">
        <f t="shared" si="63"/>
        <v>0</v>
      </c>
      <c r="BN569">
        <f t="shared" si="58"/>
        <v>47.250000000000249</v>
      </c>
      <c r="BO569">
        <f t="shared" si="59"/>
        <v>47.250000000000249</v>
      </c>
    </row>
    <row r="570" spans="61:67" x14ac:dyDescent="0.25">
      <c r="BI570" s="2">
        <f t="shared" si="60"/>
        <v>47.333333333333584</v>
      </c>
      <c r="BJ570" s="1">
        <f t="shared" si="61"/>
        <v>-143898.86720557726</v>
      </c>
      <c r="BK570" s="1">
        <f t="shared" si="62"/>
        <v>-166588.73558159298</v>
      </c>
      <c r="BL570" s="26">
        <f t="shared" si="57"/>
        <v>0</v>
      </c>
      <c r="BM570" s="26">
        <f t="shared" si="63"/>
        <v>0</v>
      </c>
      <c r="BN570">
        <f t="shared" si="58"/>
        <v>47.333333333333584</v>
      </c>
      <c r="BO570">
        <f t="shared" si="59"/>
        <v>47.333333333333584</v>
      </c>
    </row>
    <row r="571" spans="61:67" x14ac:dyDescent="0.25">
      <c r="BI571" s="2">
        <f t="shared" si="60"/>
        <v>47.41666666666692</v>
      </c>
      <c r="BJ571" s="1">
        <f t="shared" si="61"/>
        <v>-145106.60173199192</v>
      </c>
      <c r="BK571" s="1">
        <f t="shared" si="62"/>
        <v>-167856.03101249467</v>
      </c>
      <c r="BL571" s="26">
        <f t="shared" si="57"/>
        <v>0</v>
      </c>
      <c r="BM571" s="26">
        <f t="shared" si="63"/>
        <v>0</v>
      </c>
      <c r="BN571">
        <f t="shared" si="58"/>
        <v>47.41666666666692</v>
      </c>
      <c r="BO571">
        <f t="shared" si="59"/>
        <v>47.41666666666692</v>
      </c>
    </row>
    <row r="572" spans="61:67" x14ac:dyDescent="0.25">
      <c r="BI572" s="2">
        <f t="shared" si="60"/>
        <v>47.500000000000256</v>
      </c>
      <c r="BJ572" s="1">
        <f t="shared" si="61"/>
        <v>-146317.50656153841</v>
      </c>
      <c r="BK572" s="1">
        <f t="shared" si="62"/>
        <v>-169126.65309390248</v>
      </c>
      <c r="BL572" s="26">
        <f t="shared" si="57"/>
        <v>0</v>
      </c>
      <c r="BM572" s="26">
        <f t="shared" si="63"/>
        <v>0</v>
      </c>
      <c r="BN572">
        <f t="shared" si="58"/>
        <v>47.500000000000256</v>
      </c>
      <c r="BO572">
        <f t="shared" si="59"/>
        <v>47.500000000000256</v>
      </c>
    </row>
    <row r="573" spans="61:67" x14ac:dyDescent="0.25">
      <c r="BI573" s="2">
        <f t="shared" si="60"/>
        <v>47.583333333333591</v>
      </c>
      <c r="BJ573" s="1">
        <f t="shared" si="61"/>
        <v>-147531.59001626246</v>
      </c>
      <c r="BK573" s="1">
        <f t="shared" si="62"/>
        <v>-170400.610558274</v>
      </c>
      <c r="BL573" s="26">
        <f t="shared" si="57"/>
        <v>0</v>
      </c>
      <c r="BM573" s="26">
        <f t="shared" si="63"/>
        <v>0</v>
      </c>
      <c r="BN573">
        <f t="shared" si="58"/>
        <v>47.583333333333591</v>
      </c>
      <c r="BO573">
        <f t="shared" si="59"/>
        <v>47.583333333333591</v>
      </c>
    </row>
    <row r="574" spans="61:67" x14ac:dyDescent="0.25">
      <c r="BI574" s="2">
        <f t="shared" si="60"/>
        <v>47.666666666666927</v>
      </c>
      <c r="BJ574" s="1">
        <f t="shared" si="61"/>
        <v>-148748.86044005517</v>
      </c>
      <c r="BK574" s="1">
        <f t="shared" si="62"/>
        <v>-171677.91216098948</v>
      </c>
      <c r="BL574" s="26">
        <f t="shared" si="57"/>
        <v>0</v>
      </c>
      <c r="BM574" s="26">
        <f t="shared" si="63"/>
        <v>0</v>
      </c>
      <c r="BN574">
        <f t="shared" si="58"/>
        <v>47.666666666666927</v>
      </c>
      <c r="BO574">
        <f t="shared" si="59"/>
        <v>47.666666666666927</v>
      </c>
    </row>
    <row r="575" spans="61:67" x14ac:dyDescent="0.25">
      <c r="BI575" s="2">
        <f t="shared" si="60"/>
        <v>47.750000000000263</v>
      </c>
      <c r="BJ575" s="1">
        <f t="shared" si="61"/>
        <v>-149969.32619871033</v>
      </c>
      <c r="BK575" s="1">
        <f t="shared" si="62"/>
        <v>-172958.5666804121</v>
      </c>
      <c r="BL575" s="26">
        <f t="shared" si="57"/>
        <v>0</v>
      </c>
      <c r="BM575" s="26">
        <f t="shared" si="63"/>
        <v>0</v>
      </c>
      <c r="BN575">
        <f t="shared" si="58"/>
        <v>47.750000000000263</v>
      </c>
      <c r="BO575">
        <f t="shared" si="59"/>
        <v>47.750000000000263</v>
      </c>
    </row>
    <row r="576" spans="61:67" x14ac:dyDescent="0.25">
      <c r="BI576" s="2">
        <f t="shared" si="60"/>
        <v>47.833333333333599</v>
      </c>
      <c r="BJ576" s="1">
        <f t="shared" si="61"/>
        <v>-151192.99567998195</v>
      </c>
      <c r="BK576" s="1">
        <f t="shared" si="62"/>
        <v>-174242.5829179482</v>
      </c>
      <c r="BL576" s="26">
        <f t="shared" si="57"/>
        <v>0</v>
      </c>
      <c r="BM576" s="26">
        <f t="shared" si="63"/>
        <v>0</v>
      </c>
      <c r="BN576">
        <f t="shared" si="58"/>
        <v>47.833333333333599</v>
      </c>
      <c r="BO576">
        <f t="shared" si="59"/>
        <v>47.833333333333599</v>
      </c>
    </row>
    <row r="577" spans="61:67" x14ac:dyDescent="0.25">
      <c r="BI577" s="2">
        <f t="shared" si="60"/>
        <v>47.916666666666934</v>
      </c>
      <c r="BJ577" s="1">
        <f t="shared" si="61"/>
        <v>-152419.87729364191</v>
      </c>
      <c r="BK577" s="1">
        <f t="shared" si="62"/>
        <v>-175529.96969810783</v>
      </c>
      <c r="BL577" s="26">
        <f t="shared" si="57"/>
        <v>0</v>
      </c>
      <c r="BM577" s="26">
        <f t="shared" si="63"/>
        <v>0</v>
      </c>
      <c r="BN577">
        <f t="shared" si="58"/>
        <v>47.916666666666934</v>
      </c>
      <c r="BO577">
        <f t="shared" si="59"/>
        <v>47.916666666666934</v>
      </c>
    </row>
    <row r="578" spans="61:67" x14ac:dyDescent="0.25">
      <c r="BI578" s="2">
        <f t="shared" si="60"/>
        <v>48.00000000000027</v>
      </c>
      <c r="BJ578" s="1">
        <f t="shared" si="61"/>
        <v>-153649.97947153775</v>
      </c>
      <c r="BK578" s="1">
        <f t="shared" si="62"/>
        <v>-176820.73586856539</v>
      </c>
      <c r="BL578" s="26">
        <f t="shared" ref="BL578:BL641" si="64">IF(BI578&gt;$G$12,0,1)</f>
        <v>0</v>
      </c>
      <c r="BM578" s="26">
        <f t="shared" si="63"/>
        <v>0</v>
      </c>
      <c r="BN578">
        <f t="shared" ref="BN578:BN641" si="65">IF(BK578&lt;0,BI578,999)</f>
        <v>48.00000000000027</v>
      </c>
      <c r="BO578">
        <f t="shared" ref="BO578:BO641" si="66">IF(BJ578&lt;0,BI578,999)</f>
        <v>48.00000000000027</v>
      </c>
    </row>
    <row r="579" spans="61:67" x14ac:dyDescent="0.25">
      <c r="BI579" s="2">
        <f t="shared" ref="BI579:BI642" si="67">BI578+1/12</f>
        <v>48.083333333333606</v>
      </c>
      <c r="BJ579" s="1">
        <f t="shared" ref="BJ579:BJ642" si="68">BJ578*(1+$C$4/12) - $C$3</f>
        <v>-154883.31066765054</v>
      </c>
      <c r="BK579" s="1">
        <f t="shared" si="62"/>
        <v>-178114.8903002204</v>
      </c>
      <c r="BL579" s="26">
        <f t="shared" si="64"/>
        <v>0</v>
      </c>
      <c r="BM579" s="26">
        <f t="shared" si="63"/>
        <v>0</v>
      </c>
      <c r="BN579">
        <f t="shared" si="65"/>
        <v>48.083333333333606</v>
      </c>
      <c r="BO579">
        <f t="shared" si="66"/>
        <v>48.083333333333606</v>
      </c>
    </row>
    <row r="580" spans="61:67" x14ac:dyDescent="0.25">
      <c r="BI580" s="2">
        <f t="shared" si="67"/>
        <v>48.166666666666941</v>
      </c>
      <c r="BJ580" s="1">
        <f t="shared" si="68"/>
        <v>-156119.87935815315</v>
      </c>
      <c r="BK580" s="1">
        <f t="shared" ref="BK580:BK643" si="69">BK579*(1+$D$4/12)-$C$3-($D$3-$C$3)*BL580</f>
        <v>-179412.44188725849</v>
      </c>
      <c r="BL580" s="26">
        <f t="shared" si="64"/>
        <v>0</v>
      </c>
      <c r="BM580" s="26">
        <f t="shared" si="63"/>
        <v>0</v>
      </c>
      <c r="BN580">
        <f t="shared" si="65"/>
        <v>48.166666666666941</v>
      </c>
      <c r="BO580">
        <f t="shared" si="66"/>
        <v>48.166666666666941</v>
      </c>
    </row>
    <row r="581" spans="61:67" x14ac:dyDescent="0.25">
      <c r="BI581" s="2">
        <f t="shared" si="67"/>
        <v>48.250000000000277</v>
      </c>
      <c r="BJ581" s="1">
        <f t="shared" si="68"/>
        <v>-157359.69404146832</v>
      </c>
      <c r="BK581" s="1">
        <f t="shared" si="69"/>
        <v>-180713.39954721255</v>
      </c>
      <c r="BL581" s="26">
        <f t="shared" si="64"/>
        <v>0</v>
      </c>
      <c r="BM581" s="26">
        <f t="shared" si="63"/>
        <v>0</v>
      </c>
      <c r="BN581">
        <f t="shared" si="65"/>
        <v>48.250000000000277</v>
      </c>
      <c r="BO581">
        <f t="shared" si="66"/>
        <v>48.250000000000277</v>
      </c>
    </row>
    <row r="582" spans="61:67" x14ac:dyDescent="0.25">
      <c r="BI582" s="2">
        <f t="shared" si="67"/>
        <v>48.333333333333613</v>
      </c>
      <c r="BJ582" s="1">
        <f t="shared" si="68"/>
        <v>-158602.7632383272</v>
      </c>
      <c r="BK582" s="1">
        <f t="shared" si="69"/>
        <v>-182017.772221024</v>
      </c>
      <c r="BL582" s="26">
        <f t="shared" si="64"/>
        <v>0</v>
      </c>
      <c r="BM582" s="26">
        <f t="shared" si="63"/>
        <v>0</v>
      </c>
      <c r="BN582">
        <f t="shared" si="65"/>
        <v>48.333333333333613</v>
      </c>
      <c r="BO582">
        <f t="shared" si="66"/>
        <v>48.333333333333613</v>
      </c>
    </row>
    <row r="583" spans="61:67" x14ac:dyDescent="0.25">
      <c r="BI583" s="2">
        <f t="shared" si="67"/>
        <v>48.416666666666949</v>
      </c>
      <c r="BJ583" s="1">
        <f t="shared" si="68"/>
        <v>-159849.09549182781</v>
      </c>
      <c r="BK583" s="1">
        <f t="shared" si="69"/>
        <v>-183325.5688731042</v>
      </c>
      <c r="BL583" s="26">
        <f t="shared" si="64"/>
        <v>0</v>
      </c>
      <c r="BM583" s="26">
        <f t="shared" si="63"/>
        <v>0</v>
      </c>
      <c r="BN583">
        <f t="shared" si="65"/>
        <v>48.416666666666949</v>
      </c>
      <c r="BO583">
        <f t="shared" si="66"/>
        <v>48.416666666666949</v>
      </c>
    </row>
    <row r="584" spans="61:67" x14ac:dyDescent="0.25">
      <c r="BI584" s="2">
        <f t="shared" si="67"/>
        <v>48.500000000000284</v>
      </c>
      <c r="BJ584" s="1">
        <f t="shared" si="68"/>
        <v>-161098.69936749389</v>
      </c>
      <c r="BK584" s="1">
        <f t="shared" si="69"/>
        <v>-184636.79849139613</v>
      </c>
      <c r="BL584" s="26">
        <f t="shared" si="64"/>
        <v>0</v>
      </c>
      <c r="BM584" s="26">
        <f t="shared" si="63"/>
        <v>0</v>
      </c>
      <c r="BN584">
        <f t="shared" si="65"/>
        <v>48.500000000000284</v>
      </c>
      <c r="BO584">
        <f t="shared" si="66"/>
        <v>48.500000000000284</v>
      </c>
    </row>
    <row r="585" spans="61:67" x14ac:dyDescent="0.25">
      <c r="BI585" s="2">
        <f t="shared" si="67"/>
        <v>48.58333333333362</v>
      </c>
      <c r="BJ585" s="1">
        <f t="shared" si="68"/>
        <v>-162351.58345333359</v>
      </c>
      <c r="BK585" s="1">
        <f t="shared" si="69"/>
        <v>-185951.47008743606</v>
      </c>
      <c r="BL585" s="26">
        <f t="shared" si="64"/>
        <v>0</v>
      </c>
      <c r="BM585" s="26">
        <f t="shared" si="63"/>
        <v>0</v>
      </c>
      <c r="BN585">
        <f t="shared" si="65"/>
        <v>48.58333333333362</v>
      </c>
      <c r="BO585">
        <f t="shared" si="66"/>
        <v>48.58333333333362</v>
      </c>
    </row>
    <row r="586" spans="61:67" x14ac:dyDescent="0.25">
      <c r="BI586" s="2">
        <f t="shared" si="67"/>
        <v>48.666666666666956</v>
      </c>
      <c r="BJ586" s="1">
        <f t="shared" si="68"/>
        <v>-163607.7563598986</v>
      </c>
      <c r="BK586" s="1">
        <f t="shared" si="69"/>
        <v>-187269.59269641558</v>
      </c>
      <c r="BL586" s="26">
        <f t="shared" si="64"/>
        <v>0</v>
      </c>
      <c r="BM586" s="26">
        <f t="shared" si="63"/>
        <v>0</v>
      </c>
      <c r="BN586">
        <f t="shared" si="65"/>
        <v>48.666666666666956</v>
      </c>
      <c r="BO586">
        <f t="shared" si="66"/>
        <v>48.666666666666956</v>
      </c>
    </row>
    <row r="587" spans="61:67" x14ac:dyDescent="0.25">
      <c r="BI587" s="2">
        <f t="shared" si="67"/>
        <v>48.750000000000291</v>
      </c>
      <c r="BJ587" s="1">
        <f t="shared" si="68"/>
        <v>-164867.22672034334</v>
      </c>
      <c r="BK587" s="1">
        <f t="shared" si="69"/>
        <v>-188591.17537724369</v>
      </c>
      <c r="BL587" s="26">
        <f t="shared" si="64"/>
        <v>0</v>
      </c>
      <c r="BM587" s="26">
        <f t="shared" si="63"/>
        <v>0</v>
      </c>
      <c r="BN587">
        <f t="shared" si="65"/>
        <v>48.750000000000291</v>
      </c>
      <c r="BO587">
        <f t="shared" si="66"/>
        <v>48.750000000000291</v>
      </c>
    </row>
    <row r="588" spans="61:67" x14ac:dyDescent="0.25">
      <c r="BI588" s="2">
        <f t="shared" si="67"/>
        <v>48.833333333333627</v>
      </c>
      <c r="BJ588" s="1">
        <f t="shared" si="68"/>
        <v>-166130.00319048425</v>
      </c>
      <c r="BK588" s="1">
        <f t="shared" si="69"/>
        <v>-189916.22721260897</v>
      </c>
      <c r="BL588" s="26">
        <f t="shared" si="64"/>
        <v>0</v>
      </c>
      <c r="BM588" s="26">
        <f t="shared" si="63"/>
        <v>0</v>
      </c>
      <c r="BN588">
        <f t="shared" si="65"/>
        <v>48.833333333333627</v>
      </c>
      <c r="BO588">
        <f t="shared" si="66"/>
        <v>48.833333333333627</v>
      </c>
    </row>
    <row r="589" spans="61:67" x14ac:dyDescent="0.25">
      <c r="BI589" s="2">
        <f t="shared" si="67"/>
        <v>48.916666666666963</v>
      </c>
      <c r="BJ589" s="1">
        <f t="shared" si="68"/>
        <v>-167396.09444885928</v>
      </c>
      <c r="BK589" s="1">
        <f t="shared" si="69"/>
        <v>-191244.75730904209</v>
      </c>
      <c r="BL589" s="26">
        <f t="shared" si="64"/>
        <v>0</v>
      </c>
      <c r="BM589" s="26">
        <f t="shared" si="63"/>
        <v>0</v>
      </c>
      <c r="BN589">
        <f t="shared" si="65"/>
        <v>48.916666666666963</v>
      </c>
      <c r="BO589">
        <f t="shared" si="66"/>
        <v>48.916666666666963</v>
      </c>
    </row>
    <row r="590" spans="61:67" x14ac:dyDescent="0.25">
      <c r="BI590" s="2">
        <f t="shared" si="67"/>
        <v>49.000000000000298</v>
      </c>
      <c r="BJ590" s="1">
        <f t="shared" si="68"/>
        <v>-168665.50919678755</v>
      </c>
      <c r="BK590" s="1">
        <f t="shared" si="69"/>
        <v>-192576.77479697834</v>
      </c>
      <c r="BL590" s="26">
        <f t="shared" si="64"/>
        <v>0</v>
      </c>
      <c r="BM590" s="26">
        <f t="shared" si="63"/>
        <v>0</v>
      </c>
      <c r="BN590">
        <f t="shared" si="65"/>
        <v>49.000000000000298</v>
      </c>
      <c r="BO590">
        <f t="shared" si="66"/>
        <v>49.000000000000298</v>
      </c>
    </row>
    <row r="591" spans="61:67" x14ac:dyDescent="0.25">
      <c r="BI591" s="2">
        <f t="shared" si="67"/>
        <v>49.083333333333634</v>
      </c>
      <c r="BJ591" s="1">
        <f t="shared" si="68"/>
        <v>-169938.25615842914</v>
      </c>
      <c r="BK591" s="1">
        <f t="shared" si="69"/>
        <v>-193912.28883082041</v>
      </c>
      <c r="BL591" s="26">
        <f t="shared" si="64"/>
        <v>0</v>
      </c>
      <c r="BM591" s="26">
        <f t="shared" si="63"/>
        <v>0</v>
      </c>
      <c r="BN591">
        <f t="shared" si="65"/>
        <v>49.083333333333634</v>
      </c>
      <c r="BO591">
        <f t="shared" si="66"/>
        <v>49.083333333333634</v>
      </c>
    </row>
    <row r="592" spans="61:67" x14ac:dyDescent="0.25">
      <c r="BI592" s="2">
        <f t="shared" si="67"/>
        <v>49.16666666666697</v>
      </c>
      <c r="BJ592" s="1">
        <f t="shared" si="68"/>
        <v>-171214.34408084504</v>
      </c>
      <c r="BK592" s="1">
        <f t="shared" si="69"/>
        <v>-195251.30858900133</v>
      </c>
      <c r="BL592" s="26">
        <f t="shared" si="64"/>
        <v>0</v>
      </c>
      <c r="BM592" s="26">
        <f t="shared" si="63"/>
        <v>0</v>
      </c>
      <c r="BN592">
        <f t="shared" si="65"/>
        <v>49.16666666666697</v>
      </c>
      <c r="BO592">
        <f t="shared" si="66"/>
        <v>49.16666666666697</v>
      </c>
    </row>
    <row r="593" spans="61:67" x14ac:dyDescent="0.25">
      <c r="BI593" s="2">
        <f t="shared" si="67"/>
        <v>49.250000000000306</v>
      </c>
      <c r="BJ593" s="1">
        <f t="shared" si="68"/>
        <v>-172493.78173405727</v>
      </c>
      <c r="BK593" s="1">
        <f t="shared" si="69"/>
        <v>-196593.84327404748</v>
      </c>
      <c r="BL593" s="26">
        <f t="shared" si="64"/>
        <v>0</v>
      </c>
      <c r="BM593" s="26">
        <f t="shared" si="63"/>
        <v>0</v>
      </c>
      <c r="BN593">
        <f t="shared" si="65"/>
        <v>49.250000000000306</v>
      </c>
      <c r="BO593">
        <f t="shared" si="66"/>
        <v>49.250000000000306</v>
      </c>
    </row>
    <row r="594" spans="61:67" x14ac:dyDescent="0.25">
      <c r="BI594" s="2">
        <f t="shared" si="67"/>
        <v>49.333333333333641</v>
      </c>
      <c r="BJ594" s="1">
        <f t="shared" si="68"/>
        <v>-173776.57791110917</v>
      </c>
      <c r="BK594" s="1">
        <f t="shared" si="69"/>
        <v>-197939.90211264187</v>
      </c>
      <c r="BL594" s="26">
        <f t="shared" si="64"/>
        <v>0</v>
      </c>
      <c r="BM594" s="26">
        <f t="shared" si="63"/>
        <v>0</v>
      </c>
      <c r="BN594">
        <f t="shared" si="65"/>
        <v>49.333333333333641</v>
      </c>
      <c r="BO594">
        <f t="shared" si="66"/>
        <v>49.333333333333641</v>
      </c>
    </row>
    <row r="595" spans="61:67" x14ac:dyDescent="0.25">
      <c r="BI595" s="2">
        <f t="shared" si="67"/>
        <v>49.416666666666977</v>
      </c>
      <c r="BJ595" s="1">
        <f t="shared" si="68"/>
        <v>-175062.74142812585</v>
      </c>
      <c r="BK595" s="1">
        <f t="shared" si="69"/>
        <v>-199289.49435568758</v>
      </c>
      <c r="BL595" s="26">
        <f t="shared" si="64"/>
        <v>0</v>
      </c>
      <c r="BM595" s="26">
        <f t="shared" si="63"/>
        <v>0</v>
      </c>
      <c r="BN595">
        <f t="shared" si="65"/>
        <v>49.416666666666977</v>
      </c>
      <c r="BO595">
        <f t="shared" si="66"/>
        <v>49.416666666666977</v>
      </c>
    </row>
    <row r="596" spans="61:67" x14ac:dyDescent="0.25">
      <c r="BI596" s="2">
        <f t="shared" si="67"/>
        <v>49.500000000000313</v>
      </c>
      <c r="BJ596" s="1">
        <f t="shared" si="68"/>
        <v>-176352.28112437471</v>
      </c>
      <c r="BK596" s="1">
        <f t="shared" si="69"/>
        <v>-200642.62927837129</v>
      </c>
      <c r="BL596" s="26">
        <f t="shared" si="64"/>
        <v>0</v>
      </c>
      <c r="BM596" s="26">
        <f t="shared" si="63"/>
        <v>0</v>
      </c>
      <c r="BN596">
        <f t="shared" si="65"/>
        <v>49.500000000000313</v>
      </c>
      <c r="BO596">
        <f t="shared" si="66"/>
        <v>49.500000000000313</v>
      </c>
    </row>
    <row r="597" spans="61:67" x14ac:dyDescent="0.25">
      <c r="BI597" s="2">
        <f t="shared" si="67"/>
        <v>49.583333333333648</v>
      </c>
      <c r="BJ597" s="1">
        <f t="shared" si="68"/>
        <v>-177645.20586232623</v>
      </c>
      <c r="BK597" s="1">
        <f t="shared" si="69"/>
        <v>-201999.31618022703</v>
      </c>
      <c r="BL597" s="26">
        <f t="shared" si="64"/>
        <v>0</v>
      </c>
      <c r="BM597" s="26">
        <f t="shared" si="63"/>
        <v>0</v>
      </c>
      <c r="BN597">
        <f t="shared" si="65"/>
        <v>49.583333333333648</v>
      </c>
      <c r="BO597">
        <f t="shared" si="66"/>
        <v>49.583333333333648</v>
      </c>
    </row>
    <row r="598" spans="61:67" x14ac:dyDescent="0.25">
      <c r="BI598" s="2">
        <f t="shared" si="67"/>
        <v>49.666666666666984</v>
      </c>
      <c r="BJ598" s="1">
        <f t="shared" si="68"/>
        <v>-178941.52452771485</v>
      </c>
      <c r="BK598" s="1">
        <f t="shared" si="69"/>
        <v>-203359.56438520015</v>
      </c>
      <c r="BL598" s="26">
        <f t="shared" si="64"/>
        <v>0</v>
      </c>
      <c r="BM598" s="26">
        <f t="shared" si="63"/>
        <v>0</v>
      </c>
      <c r="BN598">
        <f t="shared" si="65"/>
        <v>49.666666666666984</v>
      </c>
      <c r="BO598">
        <f t="shared" si="66"/>
        <v>49.666666666666984</v>
      </c>
    </row>
    <row r="599" spans="61:67" x14ac:dyDescent="0.25">
      <c r="BI599" s="2">
        <f t="shared" si="67"/>
        <v>49.75000000000032</v>
      </c>
      <c r="BJ599" s="1">
        <f t="shared" si="68"/>
        <v>-180241.24602960012</v>
      </c>
      <c r="BK599" s="1">
        <f t="shared" si="69"/>
        <v>-204723.38324171133</v>
      </c>
      <c r="BL599" s="26">
        <f t="shared" si="64"/>
        <v>0</v>
      </c>
      <c r="BM599" s="26">
        <f t="shared" si="63"/>
        <v>0</v>
      </c>
      <c r="BN599">
        <f t="shared" si="65"/>
        <v>49.75000000000032</v>
      </c>
      <c r="BO599">
        <f t="shared" si="66"/>
        <v>49.75000000000032</v>
      </c>
    </row>
    <row r="600" spans="61:67" x14ac:dyDescent="0.25">
      <c r="BI600" s="2">
        <f t="shared" si="67"/>
        <v>49.833333333333655</v>
      </c>
      <c r="BJ600" s="1">
        <f t="shared" si="68"/>
        <v>-181544.37930042783</v>
      </c>
      <c r="BK600" s="1">
        <f t="shared" si="69"/>
        <v>-206090.78212272085</v>
      </c>
      <c r="BL600" s="26">
        <f t="shared" si="64"/>
        <v>0</v>
      </c>
      <c r="BM600" s="26">
        <f t="shared" si="63"/>
        <v>0</v>
      </c>
      <c r="BN600">
        <f t="shared" si="65"/>
        <v>49.833333333333655</v>
      </c>
      <c r="BO600">
        <f t="shared" si="66"/>
        <v>49.833333333333655</v>
      </c>
    </row>
    <row r="601" spans="61:67" x14ac:dyDescent="0.25">
      <c r="BI601" s="2">
        <f t="shared" si="67"/>
        <v>49.916666666666991</v>
      </c>
      <c r="BJ601" s="1">
        <f t="shared" si="68"/>
        <v>-182850.93329609148</v>
      </c>
      <c r="BK601" s="1">
        <f t="shared" si="69"/>
        <v>-207461.77042579302</v>
      </c>
      <c r="BL601" s="26">
        <f t="shared" si="64"/>
        <v>0</v>
      </c>
      <c r="BM601" s="26">
        <f t="shared" si="63"/>
        <v>0</v>
      </c>
      <c r="BN601">
        <f t="shared" si="65"/>
        <v>49.916666666666991</v>
      </c>
      <c r="BO601">
        <f t="shared" si="66"/>
        <v>49.916666666666991</v>
      </c>
    </row>
    <row r="602" spans="61:67" x14ac:dyDescent="0.25">
      <c r="BI602" s="2">
        <f t="shared" si="67"/>
        <v>50.000000000000327</v>
      </c>
      <c r="BJ602" s="1">
        <f t="shared" si="68"/>
        <v>-184160.91699599373</v>
      </c>
      <c r="BK602" s="1">
        <f t="shared" si="69"/>
        <v>-208836.35757316076</v>
      </c>
      <c r="BL602" s="26">
        <f t="shared" si="64"/>
        <v>0</v>
      </c>
      <c r="BM602" s="26">
        <f t="shared" si="63"/>
        <v>0</v>
      </c>
      <c r="BN602">
        <f t="shared" si="65"/>
        <v>50.000000000000327</v>
      </c>
      <c r="BO602">
        <f t="shared" si="66"/>
        <v>50.000000000000327</v>
      </c>
    </row>
    <row r="603" spans="61:67" x14ac:dyDescent="0.25">
      <c r="BI603" s="2">
        <f t="shared" si="67"/>
        <v>50.083333333333663</v>
      </c>
      <c r="BJ603" s="1">
        <f t="shared" si="68"/>
        <v>-185474.33940310823</v>
      </c>
      <c r="BK603" s="1">
        <f t="shared" si="69"/>
        <v>-210214.55301179033</v>
      </c>
      <c r="BL603" s="26">
        <f t="shared" si="64"/>
        <v>0</v>
      </c>
      <c r="BM603" s="26">
        <f t="shared" ref="BM603:BM666" si="70">IF(AND(BL603&gt;0,BK603&gt;0),1,0)</f>
        <v>0</v>
      </c>
      <c r="BN603">
        <f t="shared" si="65"/>
        <v>50.083333333333663</v>
      </c>
      <c r="BO603">
        <f t="shared" si="66"/>
        <v>50.083333333333663</v>
      </c>
    </row>
    <row r="604" spans="61:67" x14ac:dyDescent="0.25">
      <c r="BI604" s="2">
        <f t="shared" si="67"/>
        <v>50.166666666666998</v>
      </c>
      <c r="BJ604" s="1">
        <f t="shared" si="68"/>
        <v>-186791.2095440414</v>
      </c>
      <c r="BK604" s="1">
        <f t="shared" si="69"/>
        <v>-211596.36621344631</v>
      </c>
      <c r="BL604" s="26">
        <f t="shared" si="64"/>
        <v>0</v>
      </c>
      <c r="BM604" s="26">
        <f t="shared" si="70"/>
        <v>0</v>
      </c>
      <c r="BN604">
        <f t="shared" si="65"/>
        <v>50.166666666666998</v>
      </c>
      <c r="BO604">
        <f t="shared" si="66"/>
        <v>50.166666666666998</v>
      </c>
    </row>
    <row r="605" spans="61:67" x14ac:dyDescent="0.25">
      <c r="BI605" s="2">
        <f t="shared" si="67"/>
        <v>50.250000000000334</v>
      </c>
      <c r="BJ605" s="1">
        <f t="shared" si="68"/>
        <v>-188111.53646909451</v>
      </c>
      <c r="BK605" s="1">
        <f t="shared" si="69"/>
        <v>-212981.80667475663</v>
      </c>
      <c r="BL605" s="26">
        <f t="shared" si="64"/>
        <v>0</v>
      </c>
      <c r="BM605" s="26">
        <f t="shared" si="70"/>
        <v>0</v>
      </c>
      <c r="BN605">
        <f t="shared" si="65"/>
        <v>50.250000000000334</v>
      </c>
      <c r="BO605">
        <f t="shared" si="66"/>
        <v>50.250000000000334</v>
      </c>
    </row>
    <row r="606" spans="61:67" x14ac:dyDescent="0.25">
      <c r="BI606" s="2">
        <f t="shared" si="67"/>
        <v>50.33333333333367</v>
      </c>
      <c r="BJ606" s="1">
        <f t="shared" si="68"/>
        <v>-189435.3292523259</v>
      </c>
      <c r="BK606" s="1">
        <f t="shared" si="69"/>
        <v>-214370.88391727788</v>
      </c>
      <c r="BL606" s="26">
        <f t="shared" si="64"/>
        <v>0</v>
      </c>
      <c r="BM606" s="26">
        <f t="shared" si="70"/>
        <v>0</v>
      </c>
      <c r="BN606">
        <f t="shared" si="65"/>
        <v>50.33333333333367</v>
      </c>
      <c r="BO606">
        <f t="shared" si="66"/>
        <v>50.33333333333367</v>
      </c>
    </row>
    <row r="607" spans="61:67" x14ac:dyDescent="0.25">
      <c r="BI607" s="2">
        <f t="shared" si="67"/>
        <v>50.416666666667005</v>
      </c>
      <c r="BJ607" s="1">
        <f t="shared" si="68"/>
        <v>-190762.59699161327</v>
      </c>
      <c r="BK607" s="1">
        <f t="shared" si="69"/>
        <v>-215763.60748756074</v>
      </c>
      <c r="BL607" s="26">
        <f t="shared" si="64"/>
        <v>0</v>
      </c>
      <c r="BM607" s="26">
        <f t="shared" si="70"/>
        <v>0</v>
      </c>
      <c r="BN607">
        <f t="shared" si="65"/>
        <v>50.416666666667005</v>
      </c>
      <c r="BO607">
        <f t="shared" si="66"/>
        <v>50.416666666667005</v>
      </c>
    </row>
    <row r="608" spans="61:67" x14ac:dyDescent="0.25">
      <c r="BI608" s="2">
        <f t="shared" si="67"/>
        <v>50.500000000000341</v>
      </c>
      <c r="BJ608" s="1">
        <f t="shared" si="68"/>
        <v>-192093.34880871628</v>
      </c>
      <c r="BK608" s="1">
        <f t="shared" si="69"/>
        <v>-217159.98695721562</v>
      </c>
      <c r="BL608" s="26">
        <f t="shared" si="64"/>
        <v>0</v>
      </c>
      <c r="BM608" s="26">
        <f t="shared" si="70"/>
        <v>0</v>
      </c>
      <c r="BN608">
        <f t="shared" si="65"/>
        <v>50.500000000000341</v>
      </c>
      <c r="BO608">
        <f t="shared" si="66"/>
        <v>50.500000000000341</v>
      </c>
    </row>
    <row r="609" spans="61:67" x14ac:dyDescent="0.25">
      <c r="BI609" s="2">
        <f t="shared" si="67"/>
        <v>50.583333333333677</v>
      </c>
      <c r="BJ609" s="1">
        <f t="shared" si="68"/>
        <v>-193427.59384933917</v>
      </c>
      <c r="BK609" s="1">
        <f t="shared" si="69"/>
        <v>-218560.03192297832</v>
      </c>
      <c r="BL609" s="26">
        <f t="shared" si="64"/>
        <v>0</v>
      </c>
      <c r="BM609" s="26">
        <f t="shared" si="70"/>
        <v>0</v>
      </c>
      <c r="BN609">
        <f t="shared" si="65"/>
        <v>50.583333333333677</v>
      </c>
      <c r="BO609">
        <f t="shared" si="66"/>
        <v>50.583333333333677</v>
      </c>
    </row>
    <row r="610" spans="61:67" x14ac:dyDescent="0.25">
      <c r="BI610" s="2">
        <f t="shared" si="67"/>
        <v>50.666666666667012</v>
      </c>
      <c r="BJ610" s="1">
        <f t="shared" si="68"/>
        <v>-194765.3412831937</v>
      </c>
      <c r="BK610" s="1">
        <f t="shared" si="69"/>
        <v>-219963.75200677617</v>
      </c>
      <c r="BL610" s="26">
        <f t="shared" si="64"/>
        <v>0</v>
      </c>
      <c r="BM610" s="26">
        <f t="shared" si="70"/>
        <v>0</v>
      </c>
      <c r="BN610">
        <f t="shared" si="65"/>
        <v>50.666666666667012</v>
      </c>
      <c r="BO610">
        <f t="shared" si="66"/>
        <v>50.666666666667012</v>
      </c>
    </row>
    <row r="611" spans="61:67" x14ac:dyDescent="0.25">
      <c r="BI611" s="2">
        <f t="shared" si="67"/>
        <v>50.750000000000348</v>
      </c>
      <c r="BJ611" s="1">
        <f t="shared" si="68"/>
        <v>-196106.6003040621</v>
      </c>
      <c r="BK611" s="1">
        <f t="shared" si="69"/>
        <v>-221371.15685579396</v>
      </c>
      <c r="BL611" s="26">
        <f t="shared" si="64"/>
        <v>0</v>
      </c>
      <c r="BM611" s="26">
        <f t="shared" si="70"/>
        <v>0</v>
      </c>
      <c r="BN611">
        <f t="shared" si="65"/>
        <v>50.750000000000348</v>
      </c>
      <c r="BO611">
        <f t="shared" si="66"/>
        <v>50.750000000000348</v>
      </c>
    </row>
    <row r="612" spans="61:67" x14ac:dyDescent="0.25">
      <c r="BI612" s="2">
        <f t="shared" si="67"/>
        <v>50.833333333333684</v>
      </c>
      <c r="BJ612" s="1">
        <f t="shared" si="68"/>
        <v>-197451.38012986028</v>
      </c>
      <c r="BK612" s="1">
        <f t="shared" si="69"/>
        <v>-222782.25614254046</v>
      </c>
      <c r="BL612" s="26">
        <f t="shared" si="64"/>
        <v>0</v>
      </c>
      <c r="BM612" s="26">
        <f t="shared" si="70"/>
        <v>0</v>
      </c>
      <c r="BN612">
        <f t="shared" si="65"/>
        <v>50.833333333333684</v>
      </c>
      <c r="BO612">
        <f t="shared" si="66"/>
        <v>50.833333333333684</v>
      </c>
    </row>
    <row r="613" spans="61:67" x14ac:dyDescent="0.25">
      <c r="BI613" s="2">
        <f t="shared" si="67"/>
        <v>50.91666666666702</v>
      </c>
      <c r="BJ613" s="1">
        <f t="shared" si="68"/>
        <v>-198799.69000270119</v>
      </c>
      <c r="BK613" s="1">
        <f t="shared" si="69"/>
        <v>-224197.05956491464</v>
      </c>
      <c r="BL613" s="26">
        <f t="shared" si="64"/>
        <v>0</v>
      </c>
      <c r="BM613" s="26">
        <f t="shared" si="70"/>
        <v>0</v>
      </c>
      <c r="BN613">
        <f t="shared" si="65"/>
        <v>50.91666666666702</v>
      </c>
      <c r="BO613">
        <f t="shared" si="66"/>
        <v>50.91666666666702</v>
      </c>
    </row>
    <row r="614" spans="61:67" x14ac:dyDescent="0.25">
      <c r="BI614" s="2">
        <f t="shared" si="67"/>
        <v>51.000000000000355</v>
      </c>
      <c r="BJ614" s="1">
        <f t="shared" si="68"/>
        <v>-200151.5391889583</v>
      </c>
      <c r="BK614" s="1">
        <f t="shared" si="69"/>
        <v>-225615.57684627257</v>
      </c>
      <c r="BL614" s="26">
        <f t="shared" si="64"/>
        <v>0</v>
      </c>
      <c r="BM614" s="26">
        <f t="shared" si="70"/>
        <v>0</v>
      </c>
      <c r="BN614">
        <f t="shared" si="65"/>
        <v>51.000000000000355</v>
      </c>
      <c r="BO614">
        <f t="shared" si="66"/>
        <v>51.000000000000355</v>
      </c>
    </row>
    <row r="615" spans="61:67" x14ac:dyDescent="0.25">
      <c r="BI615" s="2">
        <f t="shared" si="67"/>
        <v>51.083333333333691</v>
      </c>
      <c r="BJ615" s="1">
        <f t="shared" si="68"/>
        <v>-201506.93697932933</v>
      </c>
      <c r="BK615" s="1">
        <f t="shared" si="69"/>
        <v>-227037.81773549406</v>
      </c>
      <c r="BL615" s="26">
        <f t="shared" si="64"/>
        <v>0</v>
      </c>
      <c r="BM615" s="26">
        <f t="shared" si="70"/>
        <v>0</v>
      </c>
      <c r="BN615">
        <f t="shared" si="65"/>
        <v>51.083333333333691</v>
      </c>
      <c r="BO615">
        <f t="shared" si="66"/>
        <v>51.083333333333691</v>
      </c>
    </row>
    <row r="616" spans="61:67" x14ac:dyDescent="0.25">
      <c r="BI616" s="2">
        <f t="shared" si="67"/>
        <v>51.166666666667027</v>
      </c>
      <c r="BJ616" s="1">
        <f t="shared" si="68"/>
        <v>-202865.89268890009</v>
      </c>
      <c r="BK616" s="1">
        <f t="shared" si="69"/>
        <v>-228463.79200704975</v>
      </c>
      <c r="BL616" s="26">
        <f t="shared" si="64"/>
        <v>0</v>
      </c>
      <c r="BM616" s="26">
        <f t="shared" si="70"/>
        <v>0</v>
      </c>
      <c r="BN616">
        <f t="shared" si="65"/>
        <v>51.166666666667027</v>
      </c>
      <c r="BO616">
        <f t="shared" si="66"/>
        <v>51.166666666667027</v>
      </c>
    </row>
    <row r="617" spans="61:67" x14ac:dyDescent="0.25">
      <c r="BI617" s="2">
        <f t="shared" si="67"/>
        <v>51.250000000000362</v>
      </c>
      <c r="BJ617" s="1">
        <f t="shared" si="68"/>
        <v>-204228.41565720848</v>
      </c>
      <c r="BK617" s="1">
        <f t="shared" si="69"/>
        <v>-229893.50946106829</v>
      </c>
      <c r="BL617" s="26">
        <f t="shared" si="64"/>
        <v>0</v>
      </c>
      <c r="BM617" s="26">
        <f t="shared" si="70"/>
        <v>0</v>
      </c>
      <c r="BN617">
        <f t="shared" si="65"/>
        <v>51.250000000000362</v>
      </c>
      <c r="BO617">
        <f t="shared" si="66"/>
        <v>51.250000000000362</v>
      </c>
    </row>
    <row r="618" spans="61:67" x14ac:dyDescent="0.25">
      <c r="BI618" s="2">
        <f t="shared" si="67"/>
        <v>51.333333333333698</v>
      </c>
      <c r="BJ618" s="1">
        <f t="shared" si="68"/>
        <v>-205594.51524830866</v>
      </c>
      <c r="BK618" s="1">
        <f t="shared" si="69"/>
        <v>-231326.97992340362</v>
      </c>
      <c r="BL618" s="26">
        <f t="shared" si="64"/>
        <v>0</v>
      </c>
      <c r="BM618" s="26">
        <f t="shared" si="70"/>
        <v>0</v>
      </c>
      <c r="BN618">
        <f t="shared" si="65"/>
        <v>51.333333333333698</v>
      </c>
      <c r="BO618">
        <f t="shared" si="66"/>
        <v>51.333333333333698</v>
      </c>
    </row>
    <row r="619" spans="61:67" x14ac:dyDescent="0.25">
      <c r="BI619" s="2">
        <f t="shared" si="67"/>
        <v>51.416666666667034</v>
      </c>
      <c r="BJ619" s="1">
        <f t="shared" si="68"/>
        <v>-206964.20085083548</v>
      </c>
      <c r="BK619" s="1">
        <f t="shared" si="69"/>
        <v>-232764.21324570259</v>
      </c>
      <c r="BL619" s="26">
        <f t="shared" si="64"/>
        <v>0</v>
      </c>
      <c r="BM619" s="26">
        <f t="shared" si="70"/>
        <v>0</v>
      </c>
      <c r="BN619">
        <f t="shared" si="65"/>
        <v>51.416666666667034</v>
      </c>
      <c r="BO619">
        <f t="shared" si="66"/>
        <v>51.416666666667034</v>
      </c>
    </row>
    <row r="620" spans="61:67" x14ac:dyDescent="0.25">
      <c r="BI620" s="2">
        <f t="shared" si="67"/>
        <v>51.500000000000369</v>
      </c>
      <c r="BJ620" s="1">
        <f t="shared" si="68"/>
        <v>-208337.48187806894</v>
      </c>
      <c r="BK620" s="1">
        <f t="shared" si="69"/>
        <v>-234205.21930547259</v>
      </c>
      <c r="BL620" s="26">
        <f t="shared" si="64"/>
        <v>0</v>
      </c>
      <c r="BM620" s="26">
        <f t="shared" si="70"/>
        <v>0</v>
      </c>
      <c r="BN620">
        <f t="shared" si="65"/>
        <v>51.500000000000369</v>
      </c>
      <c r="BO620">
        <f t="shared" si="66"/>
        <v>51.500000000000369</v>
      </c>
    </row>
    <row r="621" spans="61:67" x14ac:dyDescent="0.25">
      <c r="BI621" s="2">
        <f t="shared" si="67"/>
        <v>51.583333333333705</v>
      </c>
      <c r="BJ621" s="1">
        <f t="shared" si="68"/>
        <v>-209714.36776799889</v>
      </c>
      <c r="BK621" s="1">
        <f t="shared" si="69"/>
        <v>-235650.0080061495</v>
      </c>
      <c r="BL621" s="26">
        <f t="shared" si="64"/>
        <v>0</v>
      </c>
      <c r="BM621" s="26">
        <f t="shared" si="70"/>
        <v>0</v>
      </c>
      <c r="BN621">
        <f t="shared" si="65"/>
        <v>51.583333333333705</v>
      </c>
      <c r="BO621">
        <f t="shared" si="66"/>
        <v>51.583333333333705</v>
      </c>
    </row>
    <row r="622" spans="61:67" x14ac:dyDescent="0.25">
      <c r="BI622" s="2">
        <f t="shared" si="67"/>
        <v>51.666666666667041</v>
      </c>
      <c r="BJ622" s="1">
        <f t="shared" si="68"/>
        <v>-211094.86798338991</v>
      </c>
      <c r="BK622" s="1">
        <f t="shared" si="69"/>
        <v>-237098.58927716565</v>
      </c>
      <c r="BL622" s="26">
        <f t="shared" si="64"/>
        <v>0</v>
      </c>
      <c r="BM622" s="26">
        <f t="shared" si="70"/>
        <v>0</v>
      </c>
      <c r="BN622">
        <f t="shared" si="65"/>
        <v>51.666666666667041</v>
      </c>
      <c r="BO622">
        <f t="shared" si="66"/>
        <v>51.666666666667041</v>
      </c>
    </row>
    <row r="623" spans="61:67" x14ac:dyDescent="0.25">
      <c r="BI623" s="2">
        <f t="shared" si="67"/>
        <v>51.750000000000377</v>
      </c>
      <c r="BJ623" s="1">
        <f t="shared" si="68"/>
        <v>-212478.99201184633</v>
      </c>
      <c r="BK623" s="1">
        <f t="shared" si="69"/>
        <v>-238550.97307401823</v>
      </c>
      <c r="BL623" s="26">
        <f t="shared" si="64"/>
        <v>0</v>
      </c>
      <c r="BM623" s="26">
        <f t="shared" si="70"/>
        <v>0</v>
      </c>
      <c r="BN623">
        <f t="shared" si="65"/>
        <v>51.750000000000377</v>
      </c>
      <c r="BO623">
        <f t="shared" si="66"/>
        <v>51.750000000000377</v>
      </c>
    </row>
    <row r="624" spans="61:67" x14ac:dyDescent="0.25">
      <c r="BI624" s="2">
        <f t="shared" si="67"/>
        <v>51.833333333333712</v>
      </c>
      <c r="BJ624" s="1">
        <f t="shared" si="68"/>
        <v>-213866.74936587745</v>
      </c>
      <c r="BK624" s="1">
        <f t="shared" si="69"/>
        <v>-240007.16937833754</v>
      </c>
      <c r="BL624" s="26">
        <f t="shared" si="64"/>
        <v>0</v>
      </c>
      <c r="BM624" s="26">
        <f t="shared" si="70"/>
        <v>0</v>
      </c>
      <c r="BN624">
        <f t="shared" si="65"/>
        <v>51.833333333333712</v>
      </c>
      <c r="BO624">
        <f t="shared" si="66"/>
        <v>51.833333333333712</v>
      </c>
    </row>
    <row r="625" spans="61:67" x14ac:dyDescent="0.25">
      <c r="BI625" s="2">
        <f t="shared" si="67"/>
        <v>51.916666666667048</v>
      </c>
      <c r="BJ625" s="1">
        <f t="shared" si="68"/>
        <v>-215258.14958296288</v>
      </c>
      <c r="BK625" s="1">
        <f t="shared" si="69"/>
        <v>-241467.18819795569</v>
      </c>
      <c r="BL625" s="26">
        <f t="shared" si="64"/>
        <v>0</v>
      </c>
      <c r="BM625" s="26">
        <f t="shared" si="70"/>
        <v>0</v>
      </c>
      <c r="BN625">
        <f t="shared" si="65"/>
        <v>51.916666666667048</v>
      </c>
      <c r="BO625">
        <f t="shared" si="66"/>
        <v>51.916666666667048</v>
      </c>
    </row>
    <row r="626" spans="61:67" x14ac:dyDescent="0.25">
      <c r="BI626" s="2">
        <f t="shared" si="67"/>
        <v>52.000000000000384</v>
      </c>
      <c r="BJ626" s="1">
        <f t="shared" si="68"/>
        <v>-216653.20222561818</v>
      </c>
      <c r="BK626" s="1">
        <f t="shared" si="69"/>
        <v>-242931.03956697535</v>
      </c>
      <c r="BL626" s="26">
        <f t="shared" si="64"/>
        <v>0</v>
      </c>
      <c r="BM626" s="26">
        <f t="shared" si="70"/>
        <v>0</v>
      </c>
      <c r="BN626">
        <f t="shared" si="65"/>
        <v>52.000000000000384</v>
      </c>
      <c r="BO626">
        <f t="shared" si="66"/>
        <v>52.000000000000384</v>
      </c>
    </row>
    <row r="627" spans="61:67" x14ac:dyDescent="0.25">
      <c r="BI627" s="2">
        <f t="shared" si="67"/>
        <v>52.083333333333719</v>
      </c>
      <c r="BJ627" s="1">
        <f t="shared" si="68"/>
        <v>-218051.91688146046</v>
      </c>
      <c r="BK627" s="1">
        <f t="shared" si="69"/>
        <v>-244398.73354583868</v>
      </c>
      <c r="BL627" s="26">
        <f t="shared" si="64"/>
        <v>0</v>
      </c>
      <c r="BM627" s="26">
        <f t="shared" si="70"/>
        <v>0</v>
      </c>
      <c r="BN627">
        <f t="shared" si="65"/>
        <v>52.083333333333719</v>
      </c>
      <c r="BO627">
        <f t="shared" si="66"/>
        <v>52.083333333333719</v>
      </c>
    </row>
    <row r="628" spans="61:67" x14ac:dyDescent="0.25">
      <c r="BI628" s="2">
        <f t="shared" si="67"/>
        <v>52.166666666667055</v>
      </c>
      <c r="BJ628" s="1">
        <f t="shared" si="68"/>
        <v>-219454.30316327431</v>
      </c>
      <c r="BK628" s="1">
        <f t="shared" si="69"/>
        <v>-245870.28022139653</v>
      </c>
      <c r="BL628" s="26">
        <f t="shared" si="64"/>
        <v>0</v>
      </c>
      <c r="BM628" s="26">
        <f t="shared" si="70"/>
        <v>0</v>
      </c>
      <c r="BN628">
        <f t="shared" si="65"/>
        <v>52.166666666667055</v>
      </c>
      <c r="BO628">
        <f t="shared" si="66"/>
        <v>52.166666666667055</v>
      </c>
    </row>
    <row r="629" spans="61:67" x14ac:dyDescent="0.25">
      <c r="BI629" s="2">
        <f t="shared" si="67"/>
        <v>52.250000000000391</v>
      </c>
      <c r="BJ629" s="1">
        <f t="shared" si="68"/>
        <v>-220860.37070907792</v>
      </c>
      <c r="BK629" s="1">
        <f t="shared" si="69"/>
        <v>-247345.68970697772</v>
      </c>
      <c r="BL629" s="26">
        <f t="shared" si="64"/>
        <v>0</v>
      </c>
      <c r="BM629" s="26">
        <f t="shared" si="70"/>
        <v>0</v>
      </c>
      <c r="BN629">
        <f t="shared" si="65"/>
        <v>52.250000000000391</v>
      </c>
      <c r="BO629">
        <f t="shared" si="66"/>
        <v>52.250000000000391</v>
      </c>
    </row>
    <row r="630" spans="61:67" x14ac:dyDescent="0.25">
      <c r="BI630" s="2">
        <f t="shared" si="67"/>
        <v>52.333333333333727</v>
      </c>
      <c r="BJ630" s="1">
        <f t="shared" si="68"/>
        <v>-222270.12918218927</v>
      </c>
      <c r="BK630" s="1">
        <f t="shared" si="69"/>
        <v>-248824.97214245857</v>
      </c>
      <c r="BL630" s="26">
        <f t="shared" si="64"/>
        <v>0</v>
      </c>
      <c r="BM630" s="26">
        <f t="shared" si="70"/>
        <v>0</v>
      </c>
      <c r="BN630">
        <f t="shared" si="65"/>
        <v>52.333333333333727</v>
      </c>
      <c r="BO630">
        <f t="shared" si="66"/>
        <v>52.333333333333727</v>
      </c>
    </row>
    <row r="631" spans="61:67" x14ac:dyDescent="0.25">
      <c r="BI631" s="2">
        <f t="shared" si="67"/>
        <v>52.416666666667062</v>
      </c>
      <c r="BJ631" s="1">
        <f t="shared" si="68"/>
        <v>-223683.58827129254</v>
      </c>
      <c r="BK631" s="1">
        <f t="shared" si="69"/>
        <v>-250308.13769433254</v>
      </c>
      <c r="BL631" s="26">
        <f t="shared" si="64"/>
        <v>0</v>
      </c>
      <c r="BM631" s="26">
        <f t="shared" si="70"/>
        <v>0</v>
      </c>
      <c r="BN631">
        <f t="shared" si="65"/>
        <v>52.416666666667062</v>
      </c>
      <c r="BO631">
        <f t="shared" si="66"/>
        <v>52.416666666667062</v>
      </c>
    </row>
    <row r="632" spans="61:67" x14ac:dyDescent="0.25">
      <c r="BI632" s="2">
        <f t="shared" si="67"/>
        <v>52.500000000000398</v>
      </c>
      <c r="BJ632" s="1">
        <f t="shared" si="68"/>
        <v>-225100.75769050472</v>
      </c>
      <c r="BK632" s="1">
        <f t="shared" si="69"/>
        <v>-251795.19655578019</v>
      </c>
      <c r="BL632" s="26">
        <f t="shared" si="64"/>
        <v>0</v>
      </c>
      <c r="BM632" s="26">
        <f t="shared" si="70"/>
        <v>0</v>
      </c>
      <c r="BN632">
        <f t="shared" si="65"/>
        <v>52.500000000000398</v>
      </c>
      <c r="BO632">
        <f t="shared" si="66"/>
        <v>52.500000000000398</v>
      </c>
    </row>
    <row r="633" spans="61:67" x14ac:dyDescent="0.25">
      <c r="BI633" s="2">
        <f t="shared" si="67"/>
        <v>52.583333333333734</v>
      </c>
      <c r="BJ633" s="1">
        <f t="shared" si="68"/>
        <v>-226521.64717944231</v>
      </c>
      <c r="BK633" s="1">
        <f t="shared" si="69"/>
        <v>-253286.15894673913</v>
      </c>
      <c r="BL633" s="26">
        <f t="shared" si="64"/>
        <v>0</v>
      </c>
      <c r="BM633" s="26">
        <f t="shared" si="70"/>
        <v>0</v>
      </c>
      <c r="BN633">
        <f t="shared" si="65"/>
        <v>52.583333333333734</v>
      </c>
      <c r="BO633">
        <f t="shared" si="66"/>
        <v>52.583333333333734</v>
      </c>
    </row>
    <row r="634" spans="61:67" x14ac:dyDescent="0.25">
      <c r="BI634" s="2">
        <f t="shared" si="67"/>
        <v>52.666666666667069</v>
      </c>
      <c r="BJ634" s="1">
        <f t="shared" si="68"/>
        <v>-227946.26650328838</v>
      </c>
      <c r="BK634" s="1">
        <f t="shared" si="69"/>
        <v>-254781.03511397436</v>
      </c>
      <c r="BL634" s="26">
        <f t="shared" si="64"/>
        <v>0</v>
      </c>
      <c r="BM634" s="26">
        <f t="shared" si="70"/>
        <v>0</v>
      </c>
      <c r="BN634">
        <f t="shared" si="65"/>
        <v>52.666666666667069</v>
      </c>
      <c r="BO634">
        <f t="shared" si="66"/>
        <v>52.666666666667069</v>
      </c>
    </row>
    <row r="635" spans="61:67" x14ac:dyDescent="0.25">
      <c r="BI635" s="2">
        <f t="shared" si="67"/>
        <v>52.750000000000405</v>
      </c>
      <c r="BJ635" s="1">
        <f t="shared" si="68"/>
        <v>-229374.62545285953</v>
      </c>
      <c r="BK635" s="1">
        <f t="shared" si="69"/>
        <v>-256279.83533114856</v>
      </c>
      <c r="BL635" s="26">
        <f t="shared" si="64"/>
        <v>0</v>
      </c>
      <c r="BM635" s="26">
        <f t="shared" si="70"/>
        <v>0</v>
      </c>
      <c r="BN635">
        <f t="shared" si="65"/>
        <v>52.750000000000405</v>
      </c>
      <c r="BO635">
        <f t="shared" si="66"/>
        <v>52.750000000000405</v>
      </c>
    </row>
    <row r="636" spans="61:67" x14ac:dyDescent="0.25">
      <c r="BI636" s="2">
        <f t="shared" si="67"/>
        <v>52.833333333333741</v>
      </c>
      <c r="BJ636" s="1">
        <f t="shared" si="68"/>
        <v>-230806.73384467332</v>
      </c>
      <c r="BK636" s="1">
        <f t="shared" si="69"/>
        <v>-257782.56989889283</v>
      </c>
      <c r="BL636" s="26">
        <f t="shared" si="64"/>
        <v>0</v>
      </c>
      <c r="BM636" s="26">
        <f t="shared" si="70"/>
        <v>0</v>
      </c>
      <c r="BN636">
        <f t="shared" si="65"/>
        <v>52.833333333333741</v>
      </c>
      <c r="BO636">
        <f t="shared" si="66"/>
        <v>52.833333333333741</v>
      </c>
    </row>
    <row r="637" spans="61:67" x14ac:dyDescent="0.25">
      <c r="BI637" s="2">
        <f t="shared" si="67"/>
        <v>52.916666666667076</v>
      </c>
      <c r="BJ637" s="1">
        <f t="shared" si="68"/>
        <v>-232242.6015210156</v>
      </c>
      <c r="BK637" s="1">
        <f t="shared" si="69"/>
        <v>-259289.24914487745</v>
      </c>
      <c r="BL637" s="26">
        <f t="shared" si="64"/>
        <v>0</v>
      </c>
      <c r="BM637" s="26">
        <f t="shared" si="70"/>
        <v>0</v>
      </c>
      <c r="BN637">
        <f t="shared" si="65"/>
        <v>52.916666666667076</v>
      </c>
      <c r="BO637">
        <f t="shared" si="66"/>
        <v>52.916666666667076</v>
      </c>
    </row>
    <row r="638" spans="61:67" x14ac:dyDescent="0.25">
      <c r="BI638" s="2">
        <f t="shared" si="67"/>
        <v>53.000000000000412</v>
      </c>
      <c r="BJ638" s="1">
        <f t="shared" si="68"/>
        <v>-233682.23835000829</v>
      </c>
      <c r="BK638" s="1">
        <f t="shared" si="69"/>
        <v>-260799.88342388277</v>
      </c>
      <c r="BL638" s="26">
        <f t="shared" si="64"/>
        <v>0</v>
      </c>
      <c r="BM638" s="26">
        <f t="shared" si="70"/>
        <v>0</v>
      </c>
      <c r="BN638">
        <f t="shared" si="65"/>
        <v>53.000000000000412</v>
      </c>
      <c r="BO638">
        <f t="shared" si="66"/>
        <v>53.000000000000412</v>
      </c>
    </row>
    <row r="639" spans="61:67" x14ac:dyDescent="0.25">
      <c r="BI639" s="2">
        <f t="shared" si="67"/>
        <v>53.083333333333748</v>
      </c>
      <c r="BJ639" s="1">
        <f t="shared" si="68"/>
        <v>-235125.65422567708</v>
      </c>
      <c r="BK639" s="1">
        <f t="shared" si="69"/>
        <v>-262314.48311787052</v>
      </c>
      <c r="BL639" s="26">
        <f t="shared" si="64"/>
        <v>0</v>
      </c>
      <c r="BM639" s="26">
        <f t="shared" si="70"/>
        <v>0</v>
      </c>
      <c r="BN639">
        <f t="shared" si="65"/>
        <v>53.083333333333748</v>
      </c>
      <c r="BO639">
        <f t="shared" si="66"/>
        <v>53.083333333333748</v>
      </c>
    </row>
    <row r="640" spans="61:67" x14ac:dyDescent="0.25">
      <c r="BI640" s="2">
        <f t="shared" si="67"/>
        <v>53.166666666667084</v>
      </c>
      <c r="BJ640" s="1">
        <f t="shared" si="68"/>
        <v>-236572.85906801949</v>
      </c>
      <c r="BK640" s="1">
        <f t="shared" si="69"/>
        <v>-263833.05863605498</v>
      </c>
      <c r="BL640" s="26">
        <f t="shared" si="64"/>
        <v>0</v>
      </c>
      <c r="BM640" s="26">
        <f t="shared" si="70"/>
        <v>0</v>
      </c>
      <c r="BN640">
        <f t="shared" si="65"/>
        <v>53.166666666667084</v>
      </c>
      <c r="BO640">
        <f t="shared" si="66"/>
        <v>53.166666666667084</v>
      </c>
    </row>
    <row r="641" spans="61:67" x14ac:dyDescent="0.25">
      <c r="BI641" s="2">
        <f t="shared" si="67"/>
        <v>53.250000000000419</v>
      </c>
      <c r="BJ641" s="1">
        <f t="shared" si="68"/>
        <v>-238023.86282307305</v>
      </c>
      <c r="BK641" s="1">
        <f t="shared" si="69"/>
        <v>-265355.62041497463</v>
      </c>
      <c r="BL641" s="26">
        <f t="shared" si="64"/>
        <v>0</v>
      </c>
      <c r="BM641" s="26">
        <f t="shared" si="70"/>
        <v>0</v>
      </c>
      <c r="BN641">
        <f t="shared" si="65"/>
        <v>53.250000000000419</v>
      </c>
      <c r="BO641">
        <f t="shared" si="66"/>
        <v>53.250000000000419</v>
      </c>
    </row>
    <row r="642" spans="61:67" x14ac:dyDescent="0.25">
      <c r="BI642" s="2">
        <f t="shared" si="67"/>
        <v>53.333333333333755</v>
      </c>
      <c r="BJ642" s="1">
        <f t="shared" si="68"/>
        <v>-239478.67546298364</v>
      </c>
      <c r="BK642" s="1">
        <f t="shared" si="69"/>
        <v>-266882.17891856399</v>
      </c>
      <c r="BL642" s="26">
        <f t="shared" ref="BL642:BL705" si="71">IF(BI642&gt;$G$12,0,1)</f>
        <v>0</v>
      </c>
      <c r="BM642" s="26">
        <f t="shared" si="70"/>
        <v>0</v>
      </c>
      <c r="BN642">
        <f t="shared" ref="BN642:BN705" si="72">IF(BK642&lt;0,BI642,999)</f>
        <v>53.333333333333755</v>
      </c>
      <c r="BO642">
        <f t="shared" ref="BO642:BO705" si="73">IF(BJ642&lt;0,BI642,999)</f>
        <v>53.333333333333755</v>
      </c>
    </row>
    <row r="643" spans="61:67" x14ac:dyDescent="0.25">
      <c r="BI643" s="2">
        <f t="shared" ref="BI643:BI706" si="74">BI642+1/12</f>
        <v>53.416666666667091</v>
      </c>
      <c r="BJ643" s="1">
        <f t="shared" ref="BJ643:BJ706" si="75">BJ642*(1+$C$4/12) - $C$3</f>
        <v>-240937.30698607399</v>
      </c>
      <c r="BK643" s="1">
        <f t="shared" si="69"/>
        <v>-268412.74463822524</v>
      </c>
      <c r="BL643" s="26">
        <f t="shared" si="71"/>
        <v>0</v>
      </c>
      <c r="BM643" s="26">
        <f t="shared" si="70"/>
        <v>0</v>
      </c>
      <c r="BN643">
        <f t="shared" si="72"/>
        <v>53.416666666667091</v>
      </c>
      <c r="BO643">
        <f t="shared" si="73"/>
        <v>53.416666666667091</v>
      </c>
    </row>
    <row r="644" spans="61:67" x14ac:dyDescent="0.25">
      <c r="BI644" s="2">
        <f t="shared" si="74"/>
        <v>53.500000000000426</v>
      </c>
      <c r="BJ644" s="1">
        <f t="shared" si="75"/>
        <v>-242399.76741691245</v>
      </c>
      <c r="BK644" s="1">
        <f t="shared" ref="BK644:BK707" si="76">BK643*(1+$D$4/12)-$C$3-($D$3-$C$3)*BL644</f>
        <v>-269947.32809290063</v>
      </c>
      <c r="BL644" s="26">
        <f t="shared" si="71"/>
        <v>0</v>
      </c>
      <c r="BM644" s="26">
        <f t="shared" si="70"/>
        <v>0</v>
      </c>
      <c r="BN644">
        <f t="shared" si="72"/>
        <v>53.500000000000426</v>
      </c>
      <c r="BO644">
        <f t="shared" si="73"/>
        <v>53.500000000000426</v>
      </c>
    </row>
    <row r="645" spans="61:67" x14ac:dyDescent="0.25">
      <c r="BI645" s="2">
        <f t="shared" si="74"/>
        <v>53.583333333333762</v>
      </c>
      <c r="BJ645" s="1">
        <f t="shared" si="75"/>
        <v>-243866.06680638186</v>
      </c>
      <c r="BK645" s="1">
        <f t="shared" si="76"/>
        <v>-271485.93982914451</v>
      </c>
      <c r="BL645" s="26">
        <f t="shared" si="71"/>
        <v>0</v>
      </c>
      <c r="BM645" s="26">
        <f t="shared" si="70"/>
        <v>0</v>
      </c>
      <c r="BN645">
        <f t="shared" si="72"/>
        <v>53.583333333333762</v>
      </c>
      <c r="BO645">
        <f t="shared" si="73"/>
        <v>53.583333333333762</v>
      </c>
    </row>
    <row r="646" spans="61:67" x14ac:dyDescent="0.25">
      <c r="BI646" s="2">
        <f t="shared" si="74"/>
        <v>53.666666666667098</v>
      </c>
      <c r="BJ646" s="1">
        <f t="shared" si="75"/>
        <v>-245336.21523174865</v>
      </c>
      <c r="BK646" s="1">
        <f t="shared" si="76"/>
        <v>-273028.59042119602</v>
      </c>
      <c r="BL646" s="26">
        <f t="shared" si="71"/>
        <v>0</v>
      </c>
      <c r="BM646" s="26">
        <f t="shared" si="70"/>
        <v>0</v>
      </c>
      <c r="BN646">
        <f t="shared" si="72"/>
        <v>53.666666666667098</v>
      </c>
      <c r="BO646">
        <f t="shared" si="73"/>
        <v>53.666666666667098</v>
      </c>
    </row>
    <row r="647" spans="61:67" x14ac:dyDescent="0.25">
      <c r="BI647" s="2">
        <f t="shared" si="74"/>
        <v>53.750000000000433</v>
      </c>
      <c r="BJ647" s="1">
        <f t="shared" si="75"/>
        <v>-246810.22279673201</v>
      </c>
      <c r="BK647" s="1">
        <f t="shared" si="76"/>
        <v>-274575.2904710517</v>
      </c>
      <c r="BL647" s="26">
        <f t="shared" si="71"/>
        <v>0</v>
      </c>
      <c r="BM647" s="26">
        <f t="shared" si="70"/>
        <v>0</v>
      </c>
      <c r="BN647">
        <f t="shared" si="72"/>
        <v>53.750000000000433</v>
      </c>
      <c r="BO647">
        <f t="shared" si="73"/>
        <v>53.750000000000433</v>
      </c>
    </row>
    <row r="648" spans="61:67" x14ac:dyDescent="0.25">
      <c r="BI648" s="2">
        <f t="shared" si="74"/>
        <v>53.833333333333769</v>
      </c>
      <c r="BJ648" s="1">
        <f t="shared" si="75"/>
        <v>-248288.09963157345</v>
      </c>
      <c r="BK648" s="1">
        <f t="shared" si="76"/>
        <v>-276126.05060853827</v>
      </c>
      <c r="BL648" s="26">
        <f t="shared" si="71"/>
        <v>0</v>
      </c>
      <c r="BM648" s="26">
        <f t="shared" si="70"/>
        <v>0</v>
      </c>
      <c r="BN648">
        <f t="shared" si="72"/>
        <v>53.833333333333769</v>
      </c>
      <c r="BO648">
        <f t="shared" si="73"/>
        <v>53.833333333333769</v>
      </c>
    </row>
    <row r="649" spans="61:67" x14ac:dyDescent="0.25">
      <c r="BI649" s="2">
        <f t="shared" si="74"/>
        <v>53.916666666667105</v>
      </c>
      <c r="BJ649" s="1">
        <f t="shared" si="75"/>
        <v>-249769.85589310635</v>
      </c>
      <c r="BK649" s="1">
        <f t="shared" si="76"/>
        <v>-277680.88149138569</v>
      </c>
      <c r="BL649" s="26">
        <f t="shared" si="71"/>
        <v>0</v>
      </c>
      <c r="BM649" s="26">
        <f t="shared" si="70"/>
        <v>0</v>
      </c>
      <c r="BN649">
        <f t="shared" si="72"/>
        <v>53.916666666667105</v>
      </c>
      <c r="BO649">
        <f t="shared" si="73"/>
        <v>53.916666666667105</v>
      </c>
    </row>
    <row r="650" spans="61:67" x14ac:dyDescent="0.25">
      <c r="BI650" s="2">
        <f t="shared" si="74"/>
        <v>54.000000000000441</v>
      </c>
      <c r="BJ650" s="1">
        <f t="shared" si="75"/>
        <v>-251255.50176482578</v>
      </c>
      <c r="BK650" s="1">
        <f t="shared" si="76"/>
        <v>-279239.79380530061</v>
      </c>
      <c r="BL650" s="26">
        <f t="shared" si="71"/>
        <v>0</v>
      </c>
      <c r="BM650" s="26">
        <f t="shared" si="70"/>
        <v>0</v>
      </c>
      <c r="BN650">
        <f t="shared" si="72"/>
        <v>54.000000000000441</v>
      </c>
      <c r="BO650">
        <f t="shared" si="73"/>
        <v>54.000000000000441</v>
      </c>
    </row>
    <row r="651" spans="61:67" x14ac:dyDescent="0.25">
      <c r="BI651" s="2">
        <f t="shared" si="74"/>
        <v>54.083333333333776</v>
      </c>
      <c r="BJ651" s="1">
        <f t="shared" si="75"/>
        <v>-252745.04745695848</v>
      </c>
      <c r="BK651" s="1">
        <f t="shared" si="76"/>
        <v>-280802.79826403956</v>
      </c>
      <c r="BL651" s="26">
        <f t="shared" si="71"/>
        <v>0</v>
      </c>
      <c r="BM651" s="26">
        <f t="shared" si="70"/>
        <v>0</v>
      </c>
      <c r="BN651">
        <f t="shared" si="72"/>
        <v>54.083333333333776</v>
      </c>
      <c r="BO651">
        <f t="shared" si="73"/>
        <v>54.083333333333776</v>
      </c>
    </row>
    <row r="652" spans="61:67" x14ac:dyDescent="0.25">
      <c r="BI652" s="2">
        <f t="shared" si="74"/>
        <v>54.166666666667112</v>
      </c>
      <c r="BJ652" s="1">
        <f t="shared" si="75"/>
        <v>-254238.50320653303</v>
      </c>
      <c r="BK652" s="1">
        <f t="shared" si="76"/>
        <v>-282369.90560948272</v>
      </c>
      <c r="BL652" s="26">
        <f t="shared" si="71"/>
        <v>0</v>
      </c>
      <c r="BM652" s="26">
        <f t="shared" si="70"/>
        <v>0</v>
      </c>
      <c r="BN652">
        <f t="shared" si="72"/>
        <v>54.166666666667112</v>
      </c>
      <c r="BO652">
        <f t="shared" si="73"/>
        <v>54.166666666667112</v>
      </c>
    </row>
    <row r="653" spans="61:67" x14ac:dyDescent="0.25">
      <c r="BI653" s="2">
        <f t="shared" si="74"/>
        <v>54.250000000000448</v>
      </c>
      <c r="BJ653" s="1">
        <f t="shared" si="75"/>
        <v>-255735.87927745021</v>
      </c>
      <c r="BK653" s="1">
        <f t="shared" si="76"/>
        <v>-283941.12661170767</v>
      </c>
      <c r="BL653" s="26">
        <f t="shared" si="71"/>
        <v>0</v>
      </c>
      <c r="BM653" s="26">
        <f t="shared" si="70"/>
        <v>0</v>
      </c>
      <c r="BN653">
        <f t="shared" si="72"/>
        <v>54.250000000000448</v>
      </c>
      <c r="BO653">
        <f t="shared" si="73"/>
        <v>54.250000000000448</v>
      </c>
    </row>
    <row r="654" spans="61:67" x14ac:dyDescent="0.25">
      <c r="BI654" s="2">
        <f t="shared" si="74"/>
        <v>54.333333333333783</v>
      </c>
      <c r="BJ654" s="1">
        <f t="shared" si="75"/>
        <v>-257237.18596055353</v>
      </c>
      <c r="BK654" s="1">
        <f t="shared" si="76"/>
        <v>-285516.47206906346</v>
      </c>
      <c r="BL654" s="26">
        <f t="shared" si="71"/>
        <v>0</v>
      </c>
      <c r="BM654" s="26">
        <f t="shared" si="70"/>
        <v>0</v>
      </c>
      <c r="BN654">
        <f t="shared" si="72"/>
        <v>54.333333333333783</v>
      </c>
      <c r="BO654">
        <f t="shared" si="73"/>
        <v>54.333333333333783</v>
      </c>
    </row>
    <row r="655" spans="61:67" x14ac:dyDescent="0.25">
      <c r="BI655" s="2">
        <f t="shared" si="74"/>
        <v>54.416666666667119</v>
      </c>
      <c r="BJ655" s="1">
        <f t="shared" si="75"/>
        <v>-258742.43357369999</v>
      </c>
      <c r="BK655" s="1">
        <f t="shared" si="76"/>
        <v>-287095.95280824479</v>
      </c>
      <c r="BL655" s="26">
        <f t="shared" si="71"/>
        <v>0</v>
      </c>
      <c r="BM655" s="26">
        <f t="shared" si="70"/>
        <v>0</v>
      </c>
      <c r="BN655">
        <f t="shared" si="72"/>
        <v>54.416666666667119</v>
      </c>
      <c r="BO655">
        <f t="shared" si="73"/>
        <v>54.416666666667119</v>
      </c>
    </row>
    <row r="656" spans="61:67" x14ac:dyDescent="0.25">
      <c r="BI656" s="2">
        <f t="shared" si="74"/>
        <v>54.500000000000455</v>
      </c>
      <c r="BJ656" s="1">
        <f t="shared" si="75"/>
        <v>-260251.63246183097</v>
      </c>
      <c r="BK656" s="1">
        <f t="shared" si="76"/>
        <v>-288679.57968436647</v>
      </c>
      <c r="BL656" s="26">
        <f t="shared" si="71"/>
        <v>0</v>
      </c>
      <c r="BM656" s="26">
        <f t="shared" si="70"/>
        <v>0</v>
      </c>
      <c r="BN656">
        <f t="shared" si="72"/>
        <v>54.500000000000455</v>
      </c>
      <c r="BO656">
        <f t="shared" si="73"/>
        <v>54.500000000000455</v>
      </c>
    </row>
    <row r="657" spans="61:67" x14ac:dyDescent="0.25">
      <c r="BI657" s="2">
        <f t="shared" si="74"/>
        <v>54.58333333333379</v>
      </c>
      <c r="BJ657" s="1">
        <f t="shared" si="75"/>
        <v>-261764.79299704332</v>
      </c>
      <c r="BK657" s="1">
        <f t="shared" si="76"/>
        <v>-290267.36358103796</v>
      </c>
      <c r="BL657" s="26">
        <f t="shared" si="71"/>
        <v>0</v>
      </c>
      <c r="BM657" s="26">
        <f t="shared" si="70"/>
        <v>0</v>
      </c>
      <c r="BN657">
        <f t="shared" si="72"/>
        <v>54.58333333333379</v>
      </c>
      <c r="BO657">
        <f t="shared" si="73"/>
        <v>54.58333333333379</v>
      </c>
    </row>
    <row r="658" spans="61:67" x14ac:dyDescent="0.25">
      <c r="BI658" s="2">
        <f t="shared" si="74"/>
        <v>54.666666666667126</v>
      </c>
      <c r="BJ658" s="1">
        <f t="shared" si="75"/>
        <v>-263281.92557866056</v>
      </c>
      <c r="BK658" s="1">
        <f t="shared" si="76"/>
        <v>-291859.31541043823</v>
      </c>
      <c r="BL658" s="26">
        <f t="shared" si="71"/>
        <v>0</v>
      </c>
      <c r="BM658" s="26">
        <f t="shared" si="70"/>
        <v>0</v>
      </c>
      <c r="BN658">
        <f t="shared" si="72"/>
        <v>54.666666666667126</v>
      </c>
      <c r="BO658">
        <f t="shared" si="73"/>
        <v>54.666666666667126</v>
      </c>
    </row>
    <row r="659" spans="61:67" x14ac:dyDescent="0.25">
      <c r="BI659" s="2">
        <f t="shared" si="74"/>
        <v>54.750000000000462</v>
      </c>
      <c r="BJ659" s="1">
        <f t="shared" si="75"/>
        <v>-264803.04063330457</v>
      </c>
      <c r="BK659" s="1">
        <f t="shared" si="76"/>
        <v>-293455.44611339067</v>
      </c>
      <c r="BL659" s="26">
        <f t="shared" si="71"/>
        <v>0</v>
      </c>
      <c r="BM659" s="26">
        <f t="shared" si="70"/>
        <v>0</v>
      </c>
      <c r="BN659">
        <f t="shared" si="72"/>
        <v>54.750000000000462</v>
      </c>
      <c r="BO659">
        <f t="shared" si="73"/>
        <v>54.750000000000462</v>
      </c>
    </row>
    <row r="660" spans="61:67" x14ac:dyDescent="0.25">
      <c r="BI660" s="2">
        <f t="shared" si="74"/>
        <v>54.833333333333798</v>
      </c>
      <c r="BJ660" s="1">
        <f t="shared" si="75"/>
        <v>-266328.14861496701</v>
      </c>
      <c r="BK660" s="1">
        <f t="shared" si="76"/>
        <v>-295055.76665943838</v>
      </c>
      <c r="BL660" s="26">
        <f t="shared" si="71"/>
        <v>0</v>
      </c>
      <c r="BM660" s="26">
        <f t="shared" si="70"/>
        <v>0</v>
      </c>
      <c r="BN660">
        <f t="shared" si="72"/>
        <v>54.833333333333798</v>
      </c>
      <c r="BO660">
        <f t="shared" si="73"/>
        <v>54.833333333333798</v>
      </c>
    </row>
    <row r="661" spans="61:67" x14ac:dyDescent="0.25">
      <c r="BI661" s="2">
        <f t="shared" si="74"/>
        <v>54.916666666667133</v>
      </c>
      <c r="BJ661" s="1">
        <f t="shared" si="75"/>
        <v>-267857.26000508131</v>
      </c>
      <c r="BK661" s="1">
        <f t="shared" si="76"/>
        <v>-296660.28804691945</v>
      </c>
      <c r="BL661" s="26">
        <f t="shared" si="71"/>
        <v>0</v>
      </c>
      <c r="BM661" s="26">
        <f t="shared" si="70"/>
        <v>0</v>
      </c>
      <c r="BN661">
        <f t="shared" si="72"/>
        <v>54.916666666667133</v>
      </c>
      <c r="BO661">
        <f t="shared" si="73"/>
        <v>54.916666666667133</v>
      </c>
    </row>
    <row r="662" spans="61:67" x14ac:dyDescent="0.25">
      <c r="BI662" s="2">
        <f t="shared" si="74"/>
        <v>55.000000000000469</v>
      </c>
      <c r="BJ662" s="1">
        <f t="shared" si="75"/>
        <v>-269390.38531259465</v>
      </c>
      <c r="BK662" s="1">
        <f t="shared" si="76"/>
        <v>-298269.02130304265</v>
      </c>
      <c r="BL662" s="26">
        <f t="shared" si="71"/>
        <v>0</v>
      </c>
      <c r="BM662" s="26">
        <f t="shared" si="70"/>
        <v>0</v>
      </c>
      <c r="BN662">
        <f t="shared" si="72"/>
        <v>55.000000000000469</v>
      </c>
      <c r="BO662">
        <f t="shared" si="73"/>
        <v>55.000000000000469</v>
      </c>
    </row>
    <row r="663" spans="61:67" x14ac:dyDescent="0.25">
      <c r="BI663" s="2">
        <f t="shared" si="74"/>
        <v>55.083333333333805</v>
      </c>
      <c r="BJ663" s="1">
        <f t="shared" si="75"/>
        <v>-270927.53507404024</v>
      </c>
      <c r="BK663" s="1">
        <f t="shared" si="76"/>
        <v>-299881.97748396319</v>
      </c>
      <c r="BL663" s="26">
        <f t="shared" si="71"/>
        <v>0</v>
      </c>
      <c r="BM663" s="26">
        <f t="shared" si="70"/>
        <v>0</v>
      </c>
      <c r="BN663">
        <f t="shared" si="72"/>
        <v>55.083333333333805</v>
      </c>
      <c r="BO663">
        <f t="shared" si="73"/>
        <v>55.083333333333805</v>
      </c>
    </row>
    <row r="664" spans="61:67" x14ac:dyDescent="0.25">
      <c r="BI664" s="2">
        <f t="shared" si="74"/>
        <v>55.16666666666714</v>
      </c>
      <c r="BJ664" s="1">
        <f t="shared" si="75"/>
        <v>-272468.71985360963</v>
      </c>
      <c r="BK664" s="1">
        <f t="shared" si="76"/>
        <v>-301499.16767485865</v>
      </c>
      <c r="BL664" s="26">
        <f t="shared" si="71"/>
        <v>0</v>
      </c>
      <c r="BM664" s="26">
        <f t="shared" si="70"/>
        <v>0</v>
      </c>
      <c r="BN664">
        <f t="shared" si="72"/>
        <v>55.16666666666714</v>
      </c>
      <c r="BO664">
        <f t="shared" si="73"/>
        <v>55.16666666666714</v>
      </c>
    </row>
    <row r="665" spans="61:67" x14ac:dyDescent="0.25">
      <c r="BI665" s="2">
        <f t="shared" si="74"/>
        <v>55.250000000000476</v>
      </c>
      <c r="BJ665" s="1">
        <f t="shared" si="75"/>
        <v>-274013.95024322538</v>
      </c>
      <c r="BK665" s="1">
        <f t="shared" si="76"/>
        <v>-303120.60299000517</v>
      </c>
      <c r="BL665" s="26">
        <f t="shared" si="71"/>
        <v>0</v>
      </c>
      <c r="BM665" s="26">
        <f t="shared" si="70"/>
        <v>0</v>
      </c>
      <c r="BN665">
        <f t="shared" si="72"/>
        <v>55.250000000000476</v>
      </c>
      <c r="BO665">
        <f t="shared" si="73"/>
        <v>55.250000000000476</v>
      </c>
    </row>
    <row r="666" spans="61:67" x14ac:dyDescent="0.25">
      <c r="BI666" s="2">
        <f t="shared" si="74"/>
        <v>55.333333333333812</v>
      </c>
      <c r="BJ666" s="1">
        <f t="shared" si="75"/>
        <v>-275563.23686261388</v>
      </c>
      <c r="BK666" s="1">
        <f t="shared" si="76"/>
        <v>-304746.29457285395</v>
      </c>
      <c r="BL666" s="26">
        <f t="shared" si="71"/>
        <v>0</v>
      </c>
      <c r="BM666" s="26">
        <f t="shared" si="70"/>
        <v>0</v>
      </c>
      <c r="BN666">
        <f t="shared" si="72"/>
        <v>55.333333333333812</v>
      </c>
      <c r="BO666">
        <f t="shared" si="73"/>
        <v>55.333333333333812</v>
      </c>
    </row>
    <row r="667" spans="61:67" x14ac:dyDescent="0.25">
      <c r="BI667" s="2">
        <f t="shared" si="74"/>
        <v>55.416666666667147</v>
      </c>
      <c r="BJ667" s="1">
        <f t="shared" si="75"/>
        <v>-277116.59035937826</v>
      </c>
      <c r="BK667" s="1">
        <f t="shared" si="76"/>
        <v>-306376.25359610771</v>
      </c>
      <c r="BL667" s="26">
        <f t="shared" si="71"/>
        <v>0</v>
      </c>
      <c r="BM667" s="26">
        <f t="shared" ref="BM667:BM730" si="77">IF(AND(BL667&gt;0,BK667&gt;0),1,0)</f>
        <v>0</v>
      </c>
      <c r="BN667">
        <f t="shared" si="72"/>
        <v>55.416666666667147</v>
      </c>
      <c r="BO667">
        <f t="shared" si="73"/>
        <v>55.416666666667147</v>
      </c>
    </row>
    <row r="668" spans="61:67" x14ac:dyDescent="0.25">
      <c r="BI668" s="2">
        <f t="shared" si="74"/>
        <v>55.500000000000483</v>
      </c>
      <c r="BJ668" s="1">
        <f t="shared" si="75"/>
        <v>-278674.02140907163</v>
      </c>
      <c r="BK668" s="1">
        <f t="shared" si="76"/>
        <v>-308010.49126179755</v>
      </c>
      <c r="BL668" s="26">
        <f t="shared" si="71"/>
        <v>0</v>
      </c>
      <c r="BM668" s="26">
        <f t="shared" si="77"/>
        <v>0</v>
      </c>
      <c r="BN668">
        <f t="shared" si="72"/>
        <v>55.500000000000483</v>
      </c>
      <c r="BO668">
        <f t="shared" si="73"/>
        <v>55.500000000000483</v>
      </c>
    </row>
    <row r="669" spans="61:67" x14ac:dyDescent="0.25">
      <c r="BI669" s="2">
        <f t="shared" si="74"/>
        <v>55.583333333333819</v>
      </c>
      <c r="BJ669" s="1">
        <f t="shared" si="75"/>
        <v>-280235.5407152705</v>
      </c>
      <c r="BK669" s="1">
        <f t="shared" si="76"/>
        <v>-309649.01880135981</v>
      </c>
      <c r="BL669" s="26">
        <f t="shared" si="71"/>
        <v>0</v>
      </c>
      <c r="BM669" s="26">
        <f t="shared" si="77"/>
        <v>0</v>
      </c>
      <c r="BN669">
        <f t="shared" si="72"/>
        <v>55.583333333333819</v>
      </c>
      <c r="BO669">
        <f t="shared" si="73"/>
        <v>55.583333333333819</v>
      </c>
    </row>
    <row r="670" spans="61:67" x14ac:dyDescent="0.25">
      <c r="BI670" s="2">
        <f t="shared" si="74"/>
        <v>55.666666666667155</v>
      </c>
      <c r="BJ670" s="1">
        <f t="shared" si="75"/>
        <v>-281801.15900964814</v>
      </c>
      <c r="BK670" s="1">
        <f t="shared" si="76"/>
        <v>-311291.84747571341</v>
      </c>
      <c r="BL670" s="26">
        <f t="shared" si="71"/>
        <v>0</v>
      </c>
      <c r="BM670" s="26">
        <f t="shared" si="77"/>
        <v>0</v>
      </c>
      <c r="BN670">
        <f t="shared" si="72"/>
        <v>55.666666666667155</v>
      </c>
      <c r="BO670">
        <f t="shared" si="73"/>
        <v>55.666666666667155</v>
      </c>
    </row>
    <row r="671" spans="61:67" x14ac:dyDescent="0.25">
      <c r="BI671" s="2">
        <f t="shared" si="74"/>
        <v>55.75000000000049</v>
      </c>
      <c r="BJ671" s="1">
        <f t="shared" si="75"/>
        <v>-283370.88705204846</v>
      </c>
      <c r="BK671" s="1">
        <f t="shared" si="76"/>
        <v>-312938.98857533716</v>
      </c>
      <c r="BL671" s="26">
        <f t="shared" si="71"/>
        <v>0</v>
      </c>
      <c r="BM671" s="26">
        <f t="shared" si="77"/>
        <v>0</v>
      </c>
      <c r="BN671">
        <f t="shared" si="72"/>
        <v>55.75000000000049</v>
      </c>
      <c r="BO671">
        <f t="shared" si="73"/>
        <v>55.75000000000049</v>
      </c>
    </row>
    <row r="672" spans="61:67" x14ac:dyDescent="0.25">
      <c r="BI672" s="2">
        <f t="shared" si="74"/>
        <v>55.833333333333826</v>
      </c>
      <c r="BJ672" s="1">
        <f t="shared" si="75"/>
        <v>-284944.73563056014</v>
      </c>
      <c r="BK672" s="1">
        <f t="shared" si="76"/>
        <v>-314590.45342034748</v>
      </c>
      <c r="BL672" s="26">
        <f t="shared" si="71"/>
        <v>0</v>
      </c>
      <c r="BM672" s="26">
        <f t="shared" si="77"/>
        <v>0</v>
      </c>
      <c r="BN672">
        <f t="shared" si="72"/>
        <v>55.833333333333826</v>
      </c>
      <c r="BO672">
        <f t="shared" si="73"/>
        <v>55.833333333333826</v>
      </c>
    </row>
    <row r="673" spans="61:67" x14ac:dyDescent="0.25">
      <c r="BI673" s="2">
        <f t="shared" si="74"/>
        <v>55.916666666667162</v>
      </c>
      <c r="BJ673" s="1">
        <f t="shared" si="75"/>
        <v>-286522.71556159039</v>
      </c>
      <c r="BK673" s="1">
        <f t="shared" si="76"/>
        <v>-316246.25336057594</v>
      </c>
      <c r="BL673" s="26">
        <f t="shared" si="71"/>
        <v>0</v>
      </c>
      <c r="BM673" s="26">
        <f t="shared" si="77"/>
        <v>0</v>
      </c>
      <c r="BN673">
        <f t="shared" si="72"/>
        <v>55.916666666667162</v>
      </c>
      <c r="BO673">
        <f t="shared" si="73"/>
        <v>55.916666666667162</v>
      </c>
    </row>
    <row r="674" spans="61:67" x14ac:dyDescent="0.25">
      <c r="BI674" s="2">
        <f t="shared" si="74"/>
        <v>56.000000000000497</v>
      </c>
      <c r="BJ674" s="1">
        <f t="shared" si="75"/>
        <v>-288104.8376899396</v>
      </c>
      <c r="BK674" s="1">
        <f t="shared" si="76"/>
        <v>-317906.3997756475</v>
      </c>
      <c r="BL674" s="26">
        <f t="shared" si="71"/>
        <v>0</v>
      </c>
      <c r="BM674" s="26">
        <f t="shared" si="77"/>
        <v>0</v>
      </c>
      <c r="BN674">
        <f t="shared" si="72"/>
        <v>56.000000000000497</v>
      </c>
      <c r="BO674">
        <f t="shared" si="73"/>
        <v>56.000000000000497</v>
      </c>
    </row>
    <row r="675" spans="61:67" x14ac:dyDescent="0.25">
      <c r="BI675" s="2">
        <f t="shared" si="74"/>
        <v>56.083333333333833</v>
      </c>
      <c r="BJ675" s="1">
        <f t="shared" si="75"/>
        <v>-289691.11288887571</v>
      </c>
      <c r="BK675" s="1">
        <f t="shared" si="76"/>
        <v>-319570.90407505858</v>
      </c>
      <c r="BL675" s="26">
        <f t="shared" si="71"/>
        <v>0</v>
      </c>
      <c r="BM675" s="26">
        <f t="shared" si="77"/>
        <v>0</v>
      </c>
      <c r="BN675">
        <f t="shared" si="72"/>
        <v>56.083333333333833</v>
      </c>
      <c r="BO675">
        <f t="shared" si="73"/>
        <v>56.083333333333833</v>
      </c>
    </row>
    <row r="676" spans="61:67" x14ac:dyDescent="0.25">
      <c r="BI676" s="2">
        <f t="shared" si="74"/>
        <v>56.166666666667169</v>
      </c>
      <c r="BJ676" s="1">
        <f t="shared" si="75"/>
        <v>-291281.55206020904</v>
      </c>
      <c r="BK676" s="1">
        <f t="shared" si="76"/>
        <v>-321239.77769825567</v>
      </c>
      <c r="BL676" s="26">
        <f t="shared" si="71"/>
        <v>0</v>
      </c>
      <c r="BM676" s="26">
        <f t="shared" si="77"/>
        <v>0</v>
      </c>
      <c r="BN676">
        <f t="shared" si="72"/>
        <v>56.166666666667169</v>
      </c>
      <c r="BO676">
        <f t="shared" si="73"/>
        <v>56.166666666667169</v>
      </c>
    </row>
    <row r="677" spans="61:67" x14ac:dyDescent="0.25">
      <c r="BI677" s="2">
        <f t="shared" si="74"/>
        <v>56.250000000000504</v>
      </c>
      <c r="BJ677" s="1">
        <f t="shared" si="75"/>
        <v>-292876.16613436711</v>
      </c>
      <c r="BK677" s="1">
        <f t="shared" si="76"/>
        <v>-322913.03211471363</v>
      </c>
      <c r="BL677" s="26">
        <f t="shared" si="71"/>
        <v>0</v>
      </c>
      <c r="BM677" s="26">
        <f t="shared" si="77"/>
        <v>0</v>
      </c>
      <c r="BN677">
        <f t="shared" si="72"/>
        <v>56.250000000000504</v>
      </c>
      <c r="BO677">
        <f t="shared" si="73"/>
        <v>56.250000000000504</v>
      </c>
    </row>
    <row r="678" spans="61:67" x14ac:dyDescent="0.25">
      <c r="BI678" s="2">
        <f t="shared" si="74"/>
        <v>56.33333333333384</v>
      </c>
      <c r="BJ678" s="1">
        <f t="shared" si="75"/>
        <v>-294474.96607046988</v>
      </c>
      <c r="BK678" s="1">
        <f t="shared" si="76"/>
        <v>-324590.67882401479</v>
      </c>
      <c r="BL678" s="26">
        <f t="shared" si="71"/>
        <v>0</v>
      </c>
      <c r="BM678" s="26">
        <f t="shared" si="77"/>
        <v>0</v>
      </c>
      <c r="BN678">
        <f t="shared" si="72"/>
        <v>56.33333333333384</v>
      </c>
      <c r="BO678">
        <f t="shared" si="73"/>
        <v>56.33333333333384</v>
      </c>
    </row>
    <row r="679" spans="61:67" x14ac:dyDescent="0.25">
      <c r="BI679" s="2">
        <f t="shared" si="74"/>
        <v>56.416666666667176</v>
      </c>
      <c r="BJ679" s="1">
        <f t="shared" si="75"/>
        <v>-296077.96285640489</v>
      </c>
      <c r="BK679" s="1">
        <f t="shared" si="76"/>
        <v>-326272.72935592785</v>
      </c>
      <c r="BL679" s="26">
        <f t="shared" si="71"/>
        <v>0</v>
      </c>
      <c r="BM679" s="26">
        <f t="shared" si="77"/>
        <v>0</v>
      </c>
      <c r="BN679">
        <f t="shared" si="72"/>
        <v>56.416666666667176</v>
      </c>
      <c r="BO679">
        <f t="shared" si="73"/>
        <v>56.416666666667176</v>
      </c>
    </row>
    <row r="680" spans="61:67" x14ac:dyDescent="0.25">
      <c r="BI680" s="2">
        <f t="shared" si="74"/>
        <v>56.500000000000512</v>
      </c>
      <c r="BJ680" s="1">
        <f t="shared" si="75"/>
        <v>-297685.16750890296</v>
      </c>
      <c r="BK680" s="1">
        <f t="shared" si="76"/>
        <v>-327959.19527048717</v>
      </c>
      <c r="BL680" s="26">
        <f t="shared" si="71"/>
        <v>0</v>
      </c>
      <c r="BM680" s="26">
        <f t="shared" si="77"/>
        <v>0</v>
      </c>
      <c r="BN680">
        <f t="shared" si="72"/>
        <v>56.500000000000512</v>
      </c>
      <c r="BO680">
        <f t="shared" si="73"/>
        <v>56.500000000000512</v>
      </c>
    </row>
    <row r="681" spans="61:67" x14ac:dyDescent="0.25">
      <c r="BI681" s="2">
        <f t="shared" si="74"/>
        <v>56.583333333333847</v>
      </c>
      <c r="BJ681" s="1">
        <f t="shared" si="75"/>
        <v>-299296.59107361385</v>
      </c>
      <c r="BK681" s="1">
        <f t="shared" si="76"/>
        <v>-329650.08815807221</v>
      </c>
      <c r="BL681" s="26">
        <f t="shared" si="71"/>
        <v>0</v>
      </c>
      <c r="BM681" s="26">
        <f t="shared" si="77"/>
        <v>0</v>
      </c>
      <c r="BN681">
        <f t="shared" si="72"/>
        <v>56.583333333333847</v>
      </c>
      <c r="BO681">
        <f t="shared" si="73"/>
        <v>56.583333333333847</v>
      </c>
    </row>
    <row r="682" spans="61:67" x14ac:dyDescent="0.25">
      <c r="BI682" s="2">
        <f t="shared" si="74"/>
        <v>56.666666666667183</v>
      </c>
      <c r="BJ682" s="1">
        <f t="shared" si="75"/>
        <v>-300912.24462518212</v>
      </c>
      <c r="BK682" s="1">
        <f t="shared" si="76"/>
        <v>-331345.41963948717</v>
      </c>
      <c r="BL682" s="26">
        <f t="shared" si="71"/>
        <v>0</v>
      </c>
      <c r="BM682" s="26">
        <f t="shared" si="77"/>
        <v>0</v>
      </c>
      <c r="BN682">
        <f t="shared" si="72"/>
        <v>56.666666666667183</v>
      </c>
      <c r="BO682">
        <f t="shared" si="73"/>
        <v>56.666666666667183</v>
      </c>
    </row>
    <row r="683" spans="61:67" x14ac:dyDescent="0.25">
      <c r="BI683" s="2">
        <f t="shared" si="74"/>
        <v>56.750000000000519</v>
      </c>
      <c r="BJ683" s="1">
        <f t="shared" si="75"/>
        <v>-302532.13926732325</v>
      </c>
      <c r="BK683" s="1">
        <f t="shared" si="76"/>
        <v>-333045.20136604086</v>
      </c>
      <c r="BL683" s="26">
        <f t="shared" si="71"/>
        <v>0</v>
      </c>
      <c r="BM683" s="26">
        <f t="shared" si="77"/>
        <v>0</v>
      </c>
      <c r="BN683">
        <f t="shared" si="72"/>
        <v>56.750000000000519</v>
      </c>
      <c r="BO683">
        <f t="shared" si="73"/>
        <v>56.750000000000519</v>
      </c>
    </row>
    <row r="684" spans="61:67" x14ac:dyDescent="0.25">
      <c r="BI684" s="2">
        <f t="shared" si="74"/>
        <v>56.833333333333854</v>
      </c>
      <c r="BJ684" s="1">
        <f t="shared" si="75"/>
        <v>-304156.28613289999</v>
      </c>
      <c r="BK684" s="1">
        <f t="shared" si="76"/>
        <v>-334749.44501962676</v>
      </c>
      <c r="BL684" s="26">
        <f t="shared" si="71"/>
        <v>0</v>
      </c>
      <c r="BM684" s="26">
        <f t="shared" si="77"/>
        <v>0</v>
      </c>
      <c r="BN684">
        <f t="shared" si="72"/>
        <v>56.833333333333854</v>
      </c>
      <c r="BO684">
        <f t="shared" si="73"/>
        <v>56.833333333333854</v>
      </c>
    </row>
    <row r="685" spans="61:67" x14ac:dyDescent="0.25">
      <c r="BI685" s="2">
        <f t="shared" si="74"/>
        <v>56.91666666666719</v>
      </c>
      <c r="BJ685" s="1">
        <f t="shared" si="75"/>
        <v>-305784.6963839989</v>
      </c>
      <c r="BK685" s="1">
        <f t="shared" si="76"/>
        <v>-336458.16231280332</v>
      </c>
      <c r="BL685" s="26">
        <f t="shared" si="71"/>
        <v>0</v>
      </c>
      <c r="BM685" s="26">
        <f t="shared" si="77"/>
        <v>0</v>
      </c>
      <c r="BN685">
        <f t="shared" si="72"/>
        <v>56.91666666666719</v>
      </c>
      <c r="BO685">
        <f t="shared" si="73"/>
        <v>56.91666666666719</v>
      </c>
    </row>
    <row r="686" spans="61:67" x14ac:dyDescent="0.25">
      <c r="BI686" s="2">
        <f t="shared" si="74"/>
        <v>57.000000000000526</v>
      </c>
      <c r="BJ686" s="1">
        <f t="shared" si="75"/>
        <v>-307417.38121200691</v>
      </c>
      <c r="BK686" s="1">
        <f t="shared" si="76"/>
        <v>-338171.36498887447</v>
      </c>
      <c r="BL686" s="26">
        <f t="shared" si="71"/>
        <v>0</v>
      </c>
      <c r="BM686" s="26">
        <f t="shared" si="77"/>
        <v>0</v>
      </c>
      <c r="BN686">
        <f t="shared" si="72"/>
        <v>57.000000000000526</v>
      </c>
      <c r="BO686">
        <f t="shared" si="73"/>
        <v>57.000000000000526</v>
      </c>
    </row>
    <row r="687" spans="61:67" x14ac:dyDescent="0.25">
      <c r="BI687" s="2">
        <f t="shared" si="74"/>
        <v>57.083333333333862</v>
      </c>
      <c r="BJ687" s="1">
        <f t="shared" si="75"/>
        <v>-309054.35183768847</v>
      </c>
      <c r="BK687" s="1">
        <f t="shared" si="76"/>
        <v>-339889.0648219703</v>
      </c>
      <c r="BL687" s="26">
        <f t="shared" si="71"/>
        <v>0</v>
      </c>
      <c r="BM687" s="26">
        <f t="shared" si="77"/>
        <v>0</v>
      </c>
      <c r="BN687">
        <f t="shared" si="72"/>
        <v>57.083333333333862</v>
      </c>
      <c r="BO687">
        <f t="shared" si="73"/>
        <v>57.083333333333862</v>
      </c>
    </row>
    <row r="688" spans="61:67" x14ac:dyDescent="0.25">
      <c r="BI688" s="2">
        <f t="shared" si="74"/>
        <v>57.166666666667197</v>
      </c>
      <c r="BJ688" s="1">
        <f t="shared" si="75"/>
        <v>-310695.61951126246</v>
      </c>
      <c r="BK688" s="1">
        <f t="shared" si="76"/>
        <v>-341611.27361712803</v>
      </c>
      <c r="BL688" s="26">
        <f t="shared" si="71"/>
        <v>0</v>
      </c>
      <c r="BM688" s="26">
        <f t="shared" si="77"/>
        <v>0</v>
      </c>
      <c r="BN688">
        <f t="shared" si="72"/>
        <v>57.166666666667197</v>
      </c>
      <c r="BO688">
        <f t="shared" si="73"/>
        <v>57.166666666667197</v>
      </c>
    </row>
    <row r="689" spans="61:67" x14ac:dyDescent="0.25">
      <c r="BI689" s="2">
        <f t="shared" si="74"/>
        <v>57.250000000000533</v>
      </c>
      <c r="BJ689" s="1">
        <f t="shared" si="75"/>
        <v>-312341.19551247958</v>
      </c>
      <c r="BK689" s="1">
        <f t="shared" si="76"/>
        <v>-343338.00321037305</v>
      </c>
      <c r="BL689" s="26">
        <f t="shared" si="71"/>
        <v>0</v>
      </c>
      <c r="BM689" s="26">
        <f t="shared" si="77"/>
        <v>0</v>
      </c>
      <c r="BN689">
        <f t="shared" si="72"/>
        <v>57.250000000000533</v>
      </c>
      <c r="BO689">
        <f t="shared" si="73"/>
        <v>57.250000000000533</v>
      </c>
    </row>
    <row r="690" spans="61:67" x14ac:dyDescent="0.25">
      <c r="BI690" s="2">
        <f t="shared" si="74"/>
        <v>57.333333333333869</v>
      </c>
      <c r="BJ690" s="1">
        <f t="shared" si="75"/>
        <v>-313991.09115069988</v>
      </c>
      <c r="BK690" s="1">
        <f t="shared" si="76"/>
        <v>-345069.26546880032</v>
      </c>
      <c r="BL690" s="26">
        <f t="shared" si="71"/>
        <v>0</v>
      </c>
      <c r="BM690" s="26">
        <f t="shared" si="77"/>
        <v>0</v>
      </c>
      <c r="BN690">
        <f t="shared" si="72"/>
        <v>57.333333333333869</v>
      </c>
      <c r="BO690">
        <f t="shared" si="73"/>
        <v>57.333333333333869</v>
      </c>
    </row>
    <row r="691" spans="61:67" x14ac:dyDescent="0.25">
      <c r="BI691" s="2">
        <f t="shared" si="74"/>
        <v>57.416666666667204</v>
      </c>
      <c r="BJ691" s="1">
        <f t="shared" si="75"/>
        <v>-315645.31776497047</v>
      </c>
      <c r="BK691" s="1">
        <f t="shared" si="76"/>
        <v>-346805.07229065598</v>
      </c>
      <c r="BL691" s="26">
        <f t="shared" si="71"/>
        <v>0</v>
      </c>
      <c r="BM691" s="26">
        <f t="shared" si="77"/>
        <v>0</v>
      </c>
      <c r="BN691">
        <f t="shared" si="72"/>
        <v>57.416666666667204</v>
      </c>
      <c r="BO691">
        <f t="shared" si="73"/>
        <v>57.416666666667204</v>
      </c>
    </row>
    <row r="692" spans="61:67" x14ac:dyDescent="0.25">
      <c r="BI692" s="2">
        <f t="shared" si="74"/>
        <v>57.50000000000054</v>
      </c>
      <c r="BJ692" s="1">
        <f t="shared" si="75"/>
        <v>-317303.88672410353</v>
      </c>
      <c r="BK692" s="1">
        <f t="shared" si="76"/>
        <v>-348545.43560541898</v>
      </c>
      <c r="BL692" s="26">
        <f t="shared" si="71"/>
        <v>0</v>
      </c>
      <c r="BM692" s="26">
        <f t="shared" si="77"/>
        <v>0</v>
      </c>
      <c r="BN692">
        <f t="shared" si="72"/>
        <v>57.50000000000054</v>
      </c>
      <c r="BO692">
        <f t="shared" si="73"/>
        <v>57.50000000000054</v>
      </c>
    </row>
    <row r="693" spans="61:67" x14ac:dyDescent="0.25">
      <c r="BI693" s="2">
        <f t="shared" si="74"/>
        <v>57.583333333333876</v>
      </c>
      <c r="BJ693" s="1">
        <f t="shared" si="75"/>
        <v>-318966.80942675436</v>
      </c>
      <c r="BK693" s="1">
        <f t="shared" si="76"/>
        <v>-350290.36737388326</v>
      </c>
      <c r="BL693" s="26">
        <f t="shared" si="71"/>
        <v>0</v>
      </c>
      <c r="BM693" s="26">
        <f t="shared" si="77"/>
        <v>0</v>
      </c>
      <c r="BN693">
        <f t="shared" si="72"/>
        <v>57.583333333333876</v>
      </c>
      <c r="BO693">
        <f t="shared" si="73"/>
        <v>57.583333333333876</v>
      </c>
    </row>
    <row r="694" spans="61:67" x14ac:dyDescent="0.25">
      <c r="BI694" s="2">
        <f t="shared" si="74"/>
        <v>57.666666666667211</v>
      </c>
      <c r="BJ694" s="1">
        <f t="shared" si="75"/>
        <v>-320634.09730149963</v>
      </c>
      <c r="BK694" s="1">
        <f t="shared" si="76"/>
        <v>-352039.87958823971</v>
      </c>
      <c r="BL694" s="26">
        <f t="shared" si="71"/>
        <v>0</v>
      </c>
      <c r="BM694" s="26">
        <f t="shared" si="77"/>
        <v>0</v>
      </c>
      <c r="BN694">
        <f t="shared" si="72"/>
        <v>57.666666666667211</v>
      </c>
      <c r="BO694">
        <f t="shared" si="73"/>
        <v>57.666666666667211</v>
      </c>
    </row>
    <row r="695" spans="61:67" x14ac:dyDescent="0.25">
      <c r="BI695" s="2">
        <f t="shared" si="74"/>
        <v>57.750000000000547</v>
      </c>
      <c r="BJ695" s="1">
        <f t="shared" si="75"/>
        <v>-322305.7618069161</v>
      </c>
      <c r="BK695" s="1">
        <f t="shared" si="76"/>
        <v>-353793.98427215888</v>
      </c>
      <c r="BL695" s="26">
        <f t="shared" si="71"/>
        <v>0</v>
      </c>
      <c r="BM695" s="26">
        <f t="shared" si="77"/>
        <v>0</v>
      </c>
      <c r="BN695">
        <f t="shared" si="72"/>
        <v>57.750000000000547</v>
      </c>
      <c r="BO695">
        <f t="shared" si="73"/>
        <v>57.750000000000547</v>
      </c>
    </row>
    <row r="696" spans="61:67" x14ac:dyDescent="0.25">
      <c r="BI696" s="2">
        <f t="shared" si="74"/>
        <v>57.833333333333883</v>
      </c>
      <c r="BJ696" s="1">
        <f t="shared" si="75"/>
        <v>-323981.8144316593</v>
      </c>
      <c r="BK696" s="1">
        <f t="shared" si="76"/>
        <v>-355552.69348087331</v>
      </c>
      <c r="BL696" s="26">
        <f t="shared" si="71"/>
        <v>0</v>
      </c>
      <c r="BM696" s="26">
        <f t="shared" si="77"/>
        <v>0</v>
      </c>
      <c r="BN696">
        <f t="shared" si="72"/>
        <v>57.833333333333883</v>
      </c>
      <c r="BO696">
        <f t="shared" si="73"/>
        <v>57.833333333333883</v>
      </c>
    </row>
    <row r="697" spans="61:67" x14ac:dyDescent="0.25">
      <c r="BI697" s="2">
        <f t="shared" si="74"/>
        <v>57.916666666667219</v>
      </c>
      <c r="BJ697" s="1">
        <f t="shared" si="75"/>
        <v>-325662.26669454243</v>
      </c>
      <c r="BK697" s="1">
        <f t="shared" si="76"/>
        <v>-357316.01930126065</v>
      </c>
      <c r="BL697" s="26">
        <f t="shared" si="71"/>
        <v>0</v>
      </c>
      <c r="BM697" s="26">
        <f t="shared" si="77"/>
        <v>0</v>
      </c>
      <c r="BN697">
        <f t="shared" si="72"/>
        <v>57.916666666667219</v>
      </c>
      <c r="BO697">
        <f t="shared" si="73"/>
        <v>57.916666666667219</v>
      </c>
    </row>
    <row r="698" spans="61:67" x14ac:dyDescent="0.25">
      <c r="BI698" s="2">
        <f t="shared" si="74"/>
        <v>58.000000000000554</v>
      </c>
      <c r="BJ698" s="1">
        <f t="shared" si="75"/>
        <v>-327347.13014461566</v>
      </c>
      <c r="BK698" s="1">
        <f t="shared" si="76"/>
        <v>-359083.97385192651</v>
      </c>
      <c r="BL698" s="26">
        <f t="shared" si="71"/>
        <v>0</v>
      </c>
      <c r="BM698" s="26">
        <f t="shared" si="77"/>
        <v>0</v>
      </c>
      <c r="BN698">
        <f t="shared" si="72"/>
        <v>58.000000000000554</v>
      </c>
      <c r="BO698">
        <f t="shared" si="73"/>
        <v>58.000000000000554</v>
      </c>
    </row>
    <row r="699" spans="61:67" x14ac:dyDescent="0.25">
      <c r="BI699" s="2">
        <f t="shared" si="74"/>
        <v>58.08333333333389</v>
      </c>
      <c r="BJ699" s="1">
        <f t="shared" si="75"/>
        <v>-329036.41636124533</v>
      </c>
      <c r="BK699" s="1">
        <f t="shared" si="76"/>
        <v>-360856.56928328786</v>
      </c>
      <c r="BL699" s="26">
        <f t="shared" si="71"/>
        <v>0</v>
      </c>
      <c r="BM699" s="26">
        <f t="shared" si="77"/>
        <v>0</v>
      </c>
      <c r="BN699">
        <f t="shared" si="72"/>
        <v>58.08333333333389</v>
      </c>
      <c r="BO699">
        <f t="shared" si="73"/>
        <v>58.08333333333389</v>
      </c>
    </row>
    <row r="700" spans="61:67" x14ac:dyDescent="0.25">
      <c r="BI700" s="2">
        <f t="shared" si="74"/>
        <v>58.166666666667226</v>
      </c>
      <c r="BJ700" s="1">
        <f t="shared" si="75"/>
        <v>-330730.13695419364</v>
      </c>
      <c r="BK700" s="1">
        <f t="shared" si="76"/>
        <v>-362633.81777765654</v>
      </c>
      <c r="BL700" s="26">
        <f t="shared" si="71"/>
        <v>0</v>
      </c>
      <c r="BM700" s="26">
        <f t="shared" si="77"/>
        <v>0</v>
      </c>
      <c r="BN700">
        <f t="shared" si="72"/>
        <v>58.166666666667226</v>
      </c>
      <c r="BO700">
        <f t="shared" si="73"/>
        <v>58.166666666667226</v>
      </c>
    </row>
    <row r="701" spans="61:67" x14ac:dyDescent="0.25">
      <c r="BI701" s="2">
        <f t="shared" si="74"/>
        <v>58.250000000000561</v>
      </c>
      <c r="BJ701" s="1">
        <f t="shared" si="75"/>
        <v>-332428.30356369843</v>
      </c>
      <c r="BK701" s="1">
        <f t="shared" si="76"/>
        <v>-364415.73154932295</v>
      </c>
      <c r="BL701" s="26">
        <f t="shared" si="71"/>
        <v>0</v>
      </c>
      <c r="BM701" s="26">
        <f t="shared" si="77"/>
        <v>0</v>
      </c>
      <c r="BN701">
        <f t="shared" si="72"/>
        <v>58.250000000000561</v>
      </c>
      <c r="BO701">
        <f t="shared" si="73"/>
        <v>58.250000000000561</v>
      </c>
    </row>
    <row r="702" spans="61:67" x14ac:dyDescent="0.25">
      <c r="BI702" s="2">
        <f t="shared" si="74"/>
        <v>58.333333333333897</v>
      </c>
      <c r="BJ702" s="1">
        <f t="shared" si="75"/>
        <v>-334130.92786055314</v>
      </c>
      <c r="BK702" s="1">
        <f t="shared" si="76"/>
        <v>-366202.32284463994</v>
      </c>
      <c r="BL702" s="26">
        <f t="shared" si="71"/>
        <v>0</v>
      </c>
      <c r="BM702" s="26">
        <f t="shared" si="77"/>
        <v>0</v>
      </c>
      <c r="BN702">
        <f t="shared" si="72"/>
        <v>58.333333333333897</v>
      </c>
      <c r="BO702">
        <f t="shared" si="73"/>
        <v>58.333333333333897</v>
      </c>
    </row>
    <row r="703" spans="61:67" x14ac:dyDescent="0.25">
      <c r="BI703" s="2">
        <f t="shared" si="74"/>
        <v>58.416666666667233</v>
      </c>
      <c r="BJ703" s="1">
        <f t="shared" si="75"/>
        <v>-335838.02154618711</v>
      </c>
      <c r="BK703" s="1">
        <f t="shared" si="76"/>
        <v>-367993.60394210718</v>
      </c>
      <c r="BL703" s="26">
        <f t="shared" si="71"/>
        <v>0</v>
      </c>
      <c r="BM703" s="26">
        <f t="shared" si="77"/>
        <v>0</v>
      </c>
      <c r="BN703">
        <f t="shared" si="72"/>
        <v>58.416666666667233</v>
      </c>
      <c r="BO703">
        <f t="shared" si="73"/>
        <v>58.416666666667233</v>
      </c>
    </row>
    <row r="704" spans="61:67" x14ac:dyDescent="0.25">
      <c r="BI704" s="2">
        <f t="shared" si="74"/>
        <v>58.500000000000568</v>
      </c>
      <c r="BJ704" s="1">
        <f t="shared" si="75"/>
        <v>-337549.5963527459</v>
      </c>
      <c r="BK704" s="1">
        <f t="shared" si="76"/>
        <v>-369789.58715245523</v>
      </c>
      <c r="BL704" s="26">
        <f t="shared" si="71"/>
        <v>0</v>
      </c>
      <c r="BM704" s="26">
        <f t="shared" si="77"/>
        <v>0</v>
      </c>
      <c r="BN704">
        <f t="shared" si="72"/>
        <v>58.500000000000568</v>
      </c>
      <c r="BO704">
        <f t="shared" si="73"/>
        <v>58.500000000000568</v>
      </c>
    </row>
    <row r="705" spans="61:67" x14ac:dyDescent="0.25">
      <c r="BI705" s="2">
        <f t="shared" si="74"/>
        <v>58.583333333333904</v>
      </c>
      <c r="BJ705" s="1">
        <f t="shared" si="75"/>
        <v>-339265.66404317191</v>
      </c>
      <c r="BK705" s="1">
        <f t="shared" si="76"/>
        <v>-371590.28481873049</v>
      </c>
      <c r="BL705" s="26">
        <f t="shared" si="71"/>
        <v>0</v>
      </c>
      <c r="BM705" s="26">
        <f t="shared" si="77"/>
        <v>0</v>
      </c>
      <c r="BN705">
        <f t="shared" si="72"/>
        <v>58.583333333333904</v>
      </c>
      <c r="BO705">
        <f t="shared" si="73"/>
        <v>58.583333333333904</v>
      </c>
    </row>
    <row r="706" spans="61:67" x14ac:dyDescent="0.25">
      <c r="BI706" s="2">
        <f t="shared" si="74"/>
        <v>58.66666666666724</v>
      </c>
      <c r="BJ706" s="1">
        <f t="shared" si="75"/>
        <v>-340986.2364112853</v>
      </c>
      <c r="BK706" s="1">
        <f t="shared" si="76"/>
        <v>-373395.70931637968</v>
      </c>
      <c r="BL706" s="26">
        <f t="shared" ref="BL706:BL769" si="78">IF(BI706&gt;$G$12,0,1)</f>
        <v>0</v>
      </c>
      <c r="BM706" s="26">
        <f t="shared" si="77"/>
        <v>0</v>
      </c>
      <c r="BN706">
        <f t="shared" ref="BN706:BN769" si="79">IF(BK706&lt;0,BI706,999)</f>
        <v>58.66666666666724</v>
      </c>
      <c r="BO706">
        <f t="shared" ref="BO706:BO769" si="80">IF(BJ706&lt;0,BI706,999)</f>
        <v>58.66666666666724</v>
      </c>
    </row>
    <row r="707" spans="61:67" x14ac:dyDescent="0.25">
      <c r="BI707" s="2">
        <f t="shared" ref="BI707:BI770" si="81">BI706+1/12</f>
        <v>58.750000000000576</v>
      </c>
      <c r="BJ707" s="1">
        <f t="shared" ref="BJ707:BJ770" si="82">BJ706*(1+$C$4/12) - $C$3</f>
        <v>-342711.32528186496</v>
      </c>
      <c r="BK707" s="1">
        <f t="shared" si="76"/>
        <v>-375205.87305333524</v>
      </c>
      <c r="BL707" s="26">
        <f t="shared" si="78"/>
        <v>0</v>
      </c>
      <c r="BM707" s="26">
        <f t="shared" si="77"/>
        <v>0</v>
      </c>
      <c r="BN707">
        <f t="shared" si="79"/>
        <v>58.750000000000576</v>
      </c>
      <c r="BO707">
        <f t="shared" si="80"/>
        <v>58.750000000000576</v>
      </c>
    </row>
    <row r="708" spans="61:67" x14ac:dyDescent="0.25">
      <c r="BI708" s="2">
        <f t="shared" si="81"/>
        <v>58.833333333333911</v>
      </c>
      <c r="BJ708" s="1">
        <f t="shared" si="82"/>
        <v>-344440.94251072989</v>
      </c>
      <c r="BK708" s="1">
        <f t="shared" ref="BK708:BK771" si="83">BK707*(1+$D$4/12)-$C$3-($D$3-$C$3)*BL708</f>
        <v>-377020.78847010026</v>
      </c>
      <c r="BL708" s="26">
        <f t="shared" si="78"/>
        <v>0</v>
      </c>
      <c r="BM708" s="26">
        <f t="shared" si="77"/>
        <v>0</v>
      </c>
      <c r="BN708">
        <f t="shared" si="79"/>
        <v>58.833333333333911</v>
      </c>
      <c r="BO708">
        <f t="shared" si="80"/>
        <v>58.833333333333911</v>
      </c>
    </row>
    <row r="709" spans="61:67" x14ac:dyDescent="0.25">
      <c r="BI709" s="2">
        <f t="shared" si="81"/>
        <v>58.916666666667247</v>
      </c>
      <c r="BJ709" s="1">
        <f t="shared" si="82"/>
        <v>-346175.09998482058</v>
      </c>
      <c r="BK709" s="1">
        <f t="shared" si="83"/>
        <v>-378840.46803983429</v>
      </c>
      <c r="BL709" s="26">
        <f t="shared" si="78"/>
        <v>0</v>
      </c>
      <c r="BM709" s="26">
        <f t="shared" si="77"/>
        <v>0</v>
      </c>
      <c r="BN709">
        <f t="shared" si="79"/>
        <v>58.916666666667247</v>
      </c>
      <c r="BO709">
        <f t="shared" si="80"/>
        <v>58.916666666667247</v>
      </c>
    </row>
    <row r="710" spans="61:67" x14ac:dyDescent="0.25">
      <c r="BI710" s="2">
        <f t="shared" si="81"/>
        <v>59.000000000000583</v>
      </c>
      <c r="BJ710" s="1">
        <f t="shared" si="82"/>
        <v>-347913.80962228077</v>
      </c>
      <c r="BK710" s="1">
        <f t="shared" si="83"/>
        <v>-380664.92426843889</v>
      </c>
      <c r="BL710" s="26">
        <f t="shared" si="78"/>
        <v>0</v>
      </c>
      <c r="BM710" s="26">
        <f t="shared" si="77"/>
        <v>0</v>
      </c>
      <c r="BN710">
        <f t="shared" si="79"/>
        <v>59.000000000000583</v>
      </c>
      <c r="BO710">
        <f t="shared" si="80"/>
        <v>59.000000000000583</v>
      </c>
    </row>
    <row r="711" spans="61:67" x14ac:dyDescent="0.25">
      <c r="BI711" s="2">
        <f t="shared" si="81"/>
        <v>59.083333333333918</v>
      </c>
      <c r="BJ711" s="1">
        <f t="shared" si="82"/>
        <v>-349657.08337253926</v>
      </c>
      <c r="BK711" s="1">
        <f t="shared" si="83"/>
        <v>-382494.16969464358</v>
      </c>
      <c r="BL711" s="26">
        <f t="shared" si="78"/>
        <v>0</v>
      </c>
      <c r="BM711" s="26">
        <f t="shared" si="77"/>
        <v>0</v>
      </c>
      <c r="BN711">
        <f t="shared" si="79"/>
        <v>59.083333333333918</v>
      </c>
      <c r="BO711">
        <f t="shared" si="80"/>
        <v>59.083333333333918</v>
      </c>
    </row>
    <row r="712" spans="61:67" x14ac:dyDescent="0.25">
      <c r="BI712" s="2">
        <f t="shared" si="81"/>
        <v>59.166666666667254</v>
      </c>
      <c r="BJ712" s="1">
        <f t="shared" si="82"/>
        <v>-351404.93321639224</v>
      </c>
      <c r="BK712" s="1">
        <f t="shared" si="83"/>
        <v>-384328.21689009207</v>
      </c>
      <c r="BL712" s="26">
        <f t="shared" si="78"/>
        <v>0</v>
      </c>
      <c r="BM712" s="26">
        <f t="shared" si="77"/>
        <v>0</v>
      </c>
      <c r="BN712">
        <f t="shared" si="79"/>
        <v>59.166666666667254</v>
      </c>
      <c r="BO712">
        <f t="shared" si="80"/>
        <v>59.166666666667254</v>
      </c>
    </row>
    <row r="713" spans="61:67" x14ac:dyDescent="0.25">
      <c r="BI713" s="2">
        <f t="shared" si="81"/>
        <v>59.25000000000059</v>
      </c>
      <c r="BJ713" s="1">
        <f t="shared" si="82"/>
        <v>-353157.3711660853</v>
      </c>
      <c r="BK713" s="1">
        <f t="shared" si="83"/>
        <v>-386167.07845942862</v>
      </c>
      <c r="BL713" s="26">
        <f t="shared" si="78"/>
        <v>0</v>
      </c>
      <c r="BM713" s="26">
        <f t="shared" si="77"/>
        <v>0</v>
      </c>
      <c r="BN713">
        <f t="shared" si="79"/>
        <v>59.25000000000059</v>
      </c>
      <c r="BO713">
        <f t="shared" si="80"/>
        <v>59.25000000000059</v>
      </c>
    </row>
    <row r="714" spans="61:67" x14ac:dyDescent="0.25">
      <c r="BI714" s="2">
        <f t="shared" si="81"/>
        <v>59.333333333333925</v>
      </c>
      <c r="BJ714" s="1">
        <f t="shared" si="82"/>
        <v>-354914.4092653963</v>
      </c>
      <c r="BK714" s="1">
        <f t="shared" si="83"/>
        <v>-388010.76704038464</v>
      </c>
      <c r="BL714" s="26">
        <f t="shared" si="78"/>
        <v>0</v>
      </c>
      <c r="BM714" s="26">
        <f t="shared" si="77"/>
        <v>0</v>
      </c>
      <c r="BN714">
        <f t="shared" si="79"/>
        <v>59.333333333333925</v>
      </c>
      <c r="BO714">
        <f t="shared" si="80"/>
        <v>59.333333333333925</v>
      </c>
    </row>
    <row r="715" spans="61:67" x14ac:dyDescent="0.25">
      <c r="BI715" s="2">
        <f t="shared" si="81"/>
        <v>59.416666666667261</v>
      </c>
      <c r="BJ715" s="1">
        <f t="shared" si="82"/>
        <v>-356676.059589718</v>
      </c>
      <c r="BK715" s="1">
        <f t="shared" si="83"/>
        <v>-389859.29530386569</v>
      </c>
      <c r="BL715" s="26">
        <f t="shared" si="78"/>
        <v>0</v>
      </c>
      <c r="BM715" s="26">
        <f t="shared" si="77"/>
        <v>0</v>
      </c>
      <c r="BN715">
        <f t="shared" si="79"/>
        <v>59.416666666667261</v>
      </c>
      <c r="BO715">
        <f t="shared" si="80"/>
        <v>59.416666666667261</v>
      </c>
    </row>
    <row r="716" spans="61:67" x14ac:dyDescent="0.25">
      <c r="BI716" s="2">
        <f t="shared" si="81"/>
        <v>59.500000000000597</v>
      </c>
      <c r="BJ716" s="1">
        <f t="shared" si="82"/>
        <v>-358442.33424614102</v>
      </c>
      <c r="BK716" s="1">
        <f t="shared" si="83"/>
        <v>-391712.67595403839</v>
      </c>
      <c r="BL716" s="26">
        <f t="shared" si="78"/>
        <v>0</v>
      </c>
      <c r="BM716" s="26">
        <f t="shared" si="77"/>
        <v>0</v>
      </c>
      <c r="BN716">
        <f t="shared" si="79"/>
        <v>59.500000000000597</v>
      </c>
      <c r="BO716">
        <f t="shared" si="80"/>
        <v>59.500000000000597</v>
      </c>
    </row>
    <row r="717" spans="61:67" x14ac:dyDescent="0.25">
      <c r="BI717" s="2">
        <f t="shared" si="81"/>
        <v>59.583333333333933</v>
      </c>
      <c r="BJ717" s="1">
        <f t="shared" si="82"/>
        <v>-360213.24537353718</v>
      </c>
      <c r="BK717" s="1">
        <f t="shared" si="83"/>
        <v>-393570.9217284178</v>
      </c>
      <c r="BL717" s="26">
        <f t="shared" si="78"/>
        <v>0</v>
      </c>
      <c r="BM717" s="26">
        <f t="shared" si="77"/>
        <v>0</v>
      </c>
      <c r="BN717">
        <f t="shared" si="79"/>
        <v>59.583333333333933</v>
      </c>
      <c r="BO717">
        <f t="shared" si="80"/>
        <v>59.583333333333933</v>
      </c>
    </row>
    <row r="718" spans="61:67" x14ac:dyDescent="0.25">
      <c r="BI718" s="2">
        <f t="shared" si="81"/>
        <v>59.666666666667268</v>
      </c>
      <c r="BJ718" s="1">
        <f t="shared" si="82"/>
        <v>-361988.80514264276</v>
      </c>
      <c r="BK718" s="1">
        <f t="shared" si="83"/>
        <v>-395434.04539795493</v>
      </c>
      <c r="BL718" s="26">
        <f t="shared" si="78"/>
        <v>0</v>
      </c>
      <c r="BM718" s="26">
        <f t="shared" si="77"/>
        <v>0</v>
      </c>
      <c r="BN718">
        <f t="shared" si="79"/>
        <v>59.666666666667268</v>
      </c>
      <c r="BO718">
        <f t="shared" si="80"/>
        <v>59.666666666667268</v>
      </c>
    </row>
    <row r="719" spans="61:67" x14ac:dyDescent="0.25">
      <c r="BI719" s="2">
        <f t="shared" si="81"/>
        <v>59.750000000000604</v>
      </c>
      <c r="BJ719" s="1">
        <f t="shared" si="82"/>
        <v>-363769.02575614222</v>
      </c>
      <c r="BK719" s="1">
        <f t="shared" si="83"/>
        <v>-397302.05976712459</v>
      </c>
      <c r="BL719" s="26">
        <f t="shared" si="78"/>
        <v>0</v>
      </c>
      <c r="BM719" s="26">
        <f t="shared" si="77"/>
        <v>0</v>
      </c>
      <c r="BN719">
        <f t="shared" si="79"/>
        <v>59.750000000000604</v>
      </c>
      <c r="BO719">
        <f t="shared" si="80"/>
        <v>59.750000000000604</v>
      </c>
    </row>
    <row r="720" spans="61:67" x14ac:dyDescent="0.25">
      <c r="BI720" s="2">
        <f t="shared" si="81"/>
        <v>59.83333333333394</v>
      </c>
      <c r="BJ720" s="1">
        <f t="shared" si="82"/>
        <v>-365553.91944875213</v>
      </c>
      <c r="BK720" s="1">
        <f t="shared" si="83"/>
        <v>-399174.97767401335</v>
      </c>
      <c r="BL720" s="26">
        <f t="shared" si="78"/>
        <v>0</v>
      </c>
      <c r="BM720" s="26">
        <f t="shared" si="77"/>
        <v>0</v>
      </c>
      <c r="BN720">
        <f t="shared" si="79"/>
        <v>59.83333333333394</v>
      </c>
      <c r="BO720">
        <f t="shared" si="80"/>
        <v>59.83333333333394</v>
      </c>
    </row>
    <row r="721" spans="61:67" x14ac:dyDescent="0.25">
      <c r="BI721" s="2">
        <f t="shared" si="81"/>
        <v>59.916666666667275</v>
      </c>
      <c r="BJ721" s="1">
        <f t="shared" si="82"/>
        <v>-367343.49848730513</v>
      </c>
      <c r="BK721" s="1">
        <f t="shared" si="83"/>
        <v>-401052.8119904077</v>
      </c>
      <c r="BL721" s="26">
        <f t="shared" si="78"/>
        <v>0</v>
      </c>
      <c r="BM721" s="26">
        <f t="shared" si="77"/>
        <v>0</v>
      </c>
      <c r="BN721">
        <f t="shared" si="79"/>
        <v>59.916666666667275</v>
      </c>
      <c r="BO721">
        <f t="shared" si="80"/>
        <v>59.916666666667275</v>
      </c>
    </row>
    <row r="722" spans="61:67" x14ac:dyDescent="0.25">
      <c r="BI722" s="2">
        <f t="shared" si="81"/>
        <v>60.000000000000611</v>
      </c>
      <c r="BJ722" s="1">
        <f t="shared" si="82"/>
        <v>-369137.77517083433</v>
      </c>
      <c r="BK722" s="1">
        <f t="shared" si="83"/>
        <v>-402935.57562188257</v>
      </c>
      <c r="BL722" s="26">
        <f t="shared" si="78"/>
        <v>0</v>
      </c>
      <c r="BM722" s="26">
        <f t="shared" si="77"/>
        <v>0</v>
      </c>
      <c r="BN722">
        <f t="shared" si="79"/>
        <v>60.000000000000611</v>
      </c>
      <c r="BO722">
        <f t="shared" si="80"/>
        <v>60.000000000000611</v>
      </c>
    </row>
    <row r="723" spans="61:67" x14ac:dyDescent="0.25">
      <c r="BI723" s="2">
        <f t="shared" si="81"/>
        <v>60.083333333333947</v>
      </c>
      <c r="BJ723" s="1">
        <f t="shared" si="82"/>
        <v>-370936.76183065778</v>
      </c>
      <c r="BK723" s="1">
        <f t="shared" si="83"/>
        <v>-404823.28150789003</v>
      </c>
      <c r="BL723" s="26">
        <f t="shared" si="78"/>
        <v>0</v>
      </c>
      <c r="BM723" s="26">
        <f t="shared" si="77"/>
        <v>0</v>
      </c>
      <c r="BN723">
        <f t="shared" si="79"/>
        <v>60.083333333333947</v>
      </c>
      <c r="BO723">
        <f t="shared" si="80"/>
        <v>60.083333333333947</v>
      </c>
    </row>
    <row r="724" spans="61:67" x14ac:dyDescent="0.25">
      <c r="BI724" s="2">
        <f t="shared" si="81"/>
        <v>60.166666666667282</v>
      </c>
      <c r="BJ724" s="1">
        <f t="shared" si="82"/>
        <v>-372740.47083046328</v>
      </c>
      <c r="BK724" s="1">
        <f t="shared" si="83"/>
        <v>-406715.94262184825</v>
      </c>
      <c r="BL724" s="26">
        <f t="shared" si="78"/>
        <v>0</v>
      </c>
      <c r="BM724" s="26">
        <f t="shared" si="77"/>
        <v>0</v>
      </c>
      <c r="BN724">
        <f t="shared" si="79"/>
        <v>60.166666666667282</v>
      </c>
      <c r="BO724">
        <f t="shared" si="80"/>
        <v>60.166666666667282</v>
      </c>
    </row>
    <row r="725" spans="61:67" x14ac:dyDescent="0.25">
      <c r="BI725" s="2">
        <f t="shared" si="81"/>
        <v>60.250000000000618</v>
      </c>
      <c r="BJ725" s="1">
        <f t="shared" si="82"/>
        <v>-374548.9145663933</v>
      </c>
      <c r="BK725" s="1">
        <f t="shared" si="83"/>
        <v>-408613.57197123067</v>
      </c>
      <c r="BL725" s="26">
        <f t="shared" si="78"/>
        <v>0</v>
      </c>
      <c r="BM725" s="26">
        <f t="shared" si="77"/>
        <v>0</v>
      </c>
      <c r="BN725">
        <f t="shared" si="79"/>
        <v>60.250000000000618</v>
      </c>
      <c r="BO725">
        <f t="shared" si="80"/>
        <v>60.250000000000618</v>
      </c>
    </row>
    <row r="726" spans="61:67" x14ac:dyDescent="0.25">
      <c r="BI726" s="2">
        <f t="shared" si="81"/>
        <v>60.333333333333954</v>
      </c>
      <c r="BJ726" s="1">
        <f t="shared" si="82"/>
        <v>-376362.10546713014</v>
      </c>
      <c r="BK726" s="1">
        <f t="shared" si="83"/>
        <v>-410516.18259765522</v>
      </c>
      <c r="BL726" s="26">
        <f t="shared" si="78"/>
        <v>0</v>
      </c>
      <c r="BM726" s="26">
        <f t="shared" si="77"/>
        <v>0</v>
      </c>
      <c r="BN726">
        <f t="shared" si="79"/>
        <v>60.333333333333954</v>
      </c>
      <c r="BO726">
        <f t="shared" si="80"/>
        <v>60.333333333333954</v>
      </c>
    </row>
    <row r="727" spans="61:67" x14ac:dyDescent="0.25">
      <c r="BI727" s="2">
        <f t="shared" si="81"/>
        <v>60.41666666666729</v>
      </c>
      <c r="BJ727" s="1">
        <f t="shared" si="82"/>
        <v>-378180.05599398137</v>
      </c>
      <c r="BK727" s="1">
        <f t="shared" si="83"/>
        <v>-412423.78757697408</v>
      </c>
      <c r="BL727" s="26">
        <f t="shared" si="78"/>
        <v>0</v>
      </c>
      <c r="BM727" s="26">
        <f t="shared" si="77"/>
        <v>0</v>
      </c>
      <c r="BN727">
        <f t="shared" si="79"/>
        <v>60.41666666666729</v>
      </c>
      <c r="BO727">
        <f t="shared" si="80"/>
        <v>60.41666666666729</v>
      </c>
    </row>
    <row r="728" spans="61:67" x14ac:dyDescent="0.25">
      <c r="BI728" s="2">
        <f t="shared" si="81"/>
        <v>60.500000000000625</v>
      </c>
      <c r="BJ728" s="1">
        <f t="shared" si="82"/>
        <v>-380002.77864096558</v>
      </c>
      <c r="BK728" s="1">
        <f t="shared" si="83"/>
        <v>-414336.40001936367</v>
      </c>
      <c r="BL728" s="26">
        <f t="shared" si="78"/>
        <v>0</v>
      </c>
      <c r="BM728" s="26">
        <f t="shared" si="77"/>
        <v>0</v>
      </c>
      <c r="BN728">
        <f t="shared" si="79"/>
        <v>60.500000000000625</v>
      </c>
      <c r="BO728">
        <f t="shared" si="80"/>
        <v>60.500000000000625</v>
      </c>
    </row>
    <row r="729" spans="61:67" x14ac:dyDescent="0.25">
      <c r="BI729" s="2">
        <f t="shared" si="81"/>
        <v>60.583333333333961</v>
      </c>
      <c r="BJ729" s="1">
        <f t="shared" si="82"/>
        <v>-381830.28593489813</v>
      </c>
      <c r="BK729" s="1">
        <f t="shared" si="83"/>
        <v>-416254.03306941455</v>
      </c>
      <c r="BL729" s="26">
        <f t="shared" si="78"/>
        <v>0</v>
      </c>
      <c r="BM729" s="26">
        <f t="shared" si="77"/>
        <v>0</v>
      </c>
      <c r="BN729">
        <f t="shared" si="79"/>
        <v>60.583333333333961</v>
      </c>
      <c r="BO729">
        <f t="shared" si="80"/>
        <v>60.583333333333961</v>
      </c>
    </row>
    <row r="730" spans="61:67" x14ac:dyDescent="0.25">
      <c r="BI730" s="2">
        <f t="shared" si="81"/>
        <v>60.666666666667297</v>
      </c>
      <c r="BJ730" s="1">
        <f t="shared" si="82"/>
        <v>-383662.59043547726</v>
      </c>
      <c r="BK730" s="1">
        <f t="shared" si="83"/>
        <v>-418176.69990622182</v>
      </c>
      <c r="BL730" s="26">
        <f t="shared" si="78"/>
        <v>0</v>
      </c>
      <c r="BM730" s="26">
        <f t="shared" si="77"/>
        <v>0</v>
      </c>
      <c r="BN730">
        <f t="shared" si="79"/>
        <v>60.666666666667297</v>
      </c>
      <c r="BO730">
        <f t="shared" si="80"/>
        <v>60.666666666667297</v>
      </c>
    </row>
    <row r="731" spans="61:67" x14ac:dyDescent="0.25">
      <c r="BI731" s="2">
        <f t="shared" si="81"/>
        <v>60.750000000000632</v>
      </c>
      <c r="BJ731" s="1">
        <f t="shared" si="82"/>
        <v>-385499.70473537041</v>
      </c>
      <c r="BK731" s="1">
        <f t="shared" si="83"/>
        <v>-420104.41374347568</v>
      </c>
      <c r="BL731" s="26">
        <f t="shared" si="78"/>
        <v>0</v>
      </c>
      <c r="BM731" s="26">
        <f t="shared" ref="BM731:BM794" si="84">IF(AND(BL731&gt;0,BK731&gt;0),1,0)</f>
        <v>0</v>
      </c>
      <c r="BN731">
        <f t="shared" si="79"/>
        <v>60.750000000000632</v>
      </c>
      <c r="BO731">
        <f t="shared" si="80"/>
        <v>60.750000000000632</v>
      </c>
    </row>
    <row r="732" spans="61:67" x14ac:dyDescent="0.25">
      <c r="BI732" s="2">
        <f t="shared" si="81"/>
        <v>60.833333333333968</v>
      </c>
      <c r="BJ732" s="1">
        <f t="shared" si="82"/>
        <v>-387341.64146030077</v>
      </c>
      <c r="BK732" s="1">
        <f t="shared" si="83"/>
        <v>-422037.18782955233</v>
      </c>
      <c r="BL732" s="26">
        <f t="shared" si="78"/>
        <v>0</v>
      </c>
      <c r="BM732" s="26">
        <f t="shared" si="84"/>
        <v>0</v>
      </c>
      <c r="BN732">
        <f t="shared" si="79"/>
        <v>60.833333333333968</v>
      </c>
      <c r="BO732">
        <f t="shared" si="80"/>
        <v>60.833333333333968</v>
      </c>
    </row>
    <row r="733" spans="61:67" x14ac:dyDescent="0.25">
      <c r="BI733" s="2">
        <f t="shared" si="81"/>
        <v>60.916666666667304</v>
      </c>
      <c r="BJ733" s="1">
        <f t="shared" si="82"/>
        <v>-389188.41326913412</v>
      </c>
      <c r="BK733" s="1">
        <f t="shared" si="83"/>
        <v>-423975.03544760495</v>
      </c>
      <c r="BL733" s="26">
        <f t="shared" si="78"/>
        <v>0</v>
      </c>
      <c r="BM733" s="26">
        <f t="shared" si="84"/>
        <v>0</v>
      </c>
      <c r="BN733">
        <f t="shared" si="79"/>
        <v>60.916666666667304</v>
      </c>
      <c r="BO733">
        <f t="shared" si="80"/>
        <v>60.916666666667304</v>
      </c>
    </row>
    <row r="734" spans="61:67" x14ac:dyDescent="0.25">
      <c r="BI734" s="2">
        <f t="shared" si="81"/>
        <v>61.000000000000639</v>
      </c>
      <c r="BJ734" s="1">
        <f t="shared" si="82"/>
        <v>-391040.03285396565</v>
      </c>
      <c r="BK734" s="1">
        <f t="shared" si="83"/>
        <v>-425917.96991565498</v>
      </c>
      <c r="BL734" s="26">
        <f t="shared" si="78"/>
        <v>0</v>
      </c>
      <c r="BM734" s="26">
        <f t="shared" si="84"/>
        <v>0</v>
      </c>
      <c r="BN734">
        <f t="shared" si="79"/>
        <v>61.000000000000639</v>
      </c>
      <c r="BO734">
        <f t="shared" si="80"/>
        <v>61.000000000000639</v>
      </c>
    </row>
    <row r="735" spans="61:67" x14ac:dyDescent="0.25">
      <c r="BI735" s="2">
        <f t="shared" si="81"/>
        <v>61.083333333333975</v>
      </c>
      <c r="BJ735" s="1">
        <f t="shared" si="82"/>
        <v>-392896.51294020732</v>
      </c>
      <c r="BK735" s="1">
        <f t="shared" si="83"/>
        <v>-427866.00458668359</v>
      </c>
      <c r="BL735" s="26">
        <f t="shared" si="78"/>
        <v>0</v>
      </c>
      <c r="BM735" s="26">
        <f t="shared" si="84"/>
        <v>0</v>
      </c>
      <c r="BN735">
        <f t="shared" si="79"/>
        <v>61.083333333333975</v>
      </c>
      <c r="BO735">
        <f t="shared" si="80"/>
        <v>61.083333333333975</v>
      </c>
    </row>
    <row r="736" spans="61:67" x14ac:dyDescent="0.25">
      <c r="BI736" s="2">
        <f t="shared" si="81"/>
        <v>61.166666666667311</v>
      </c>
      <c r="BJ736" s="1">
        <f t="shared" si="82"/>
        <v>-394757.86628667539</v>
      </c>
      <c r="BK736" s="1">
        <f t="shared" si="83"/>
        <v>-429819.15284872369</v>
      </c>
      <c r="BL736" s="26">
        <f t="shared" si="78"/>
        <v>0</v>
      </c>
      <c r="BM736" s="26">
        <f t="shared" si="84"/>
        <v>0</v>
      </c>
      <c r="BN736">
        <f t="shared" si="79"/>
        <v>61.166666666667311</v>
      </c>
      <c r="BO736">
        <f t="shared" si="80"/>
        <v>61.166666666667311</v>
      </c>
    </row>
    <row r="737" spans="61:67" x14ac:dyDescent="0.25">
      <c r="BI737" s="2">
        <f t="shared" si="81"/>
        <v>61.250000000000647</v>
      </c>
      <c r="BJ737" s="1">
        <f t="shared" si="82"/>
        <v>-396624.10568567796</v>
      </c>
      <c r="BK737" s="1">
        <f t="shared" si="83"/>
        <v>-431777.42812495166</v>
      </c>
      <c r="BL737" s="26">
        <f t="shared" si="78"/>
        <v>0</v>
      </c>
      <c r="BM737" s="26">
        <f t="shared" si="84"/>
        <v>0</v>
      </c>
      <c r="BN737">
        <f t="shared" si="79"/>
        <v>61.250000000000647</v>
      </c>
      <c r="BO737">
        <f t="shared" si="80"/>
        <v>61.250000000000647</v>
      </c>
    </row>
    <row r="738" spans="61:67" x14ac:dyDescent="0.25">
      <c r="BI738" s="2">
        <f t="shared" si="81"/>
        <v>61.333333333333982</v>
      </c>
      <c r="BJ738" s="1">
        <f t="shared" si="82"/>
        <v>-398495.24396310293</v>
      </c>
      <c r="BK738" s="1">
        <f t="shared" si="83"/>
        <v>-433740.8438737797</v>
      </c>
      <c r="BL738" s="26">
        <f t="shared" si="78"/>
        <v>0</v>
      </c>
      <c r="BM738" s="26">
        <f t="shared" si="84"/>
        <v>0</v>
      </c>
      <c r="BN738">
        <f t="shared" si="79"/>
        <v>61.333333333333982</v>
      </c>
      <c r="BO738">
        <f t="shared" si="80"/>
        <v>61.333333333333982</v>
      </c>
    </row>
    <row r="739" spans="61:67" x14ac:dyDescent="0.25">
      <c r="BI739" s="2">
        <f t="shared" si="81"/>
        <v>61.416666666667318</v>
      </c>
      <c r="BJ739" s="1">
        <f t="shared" si="82"/>
        <v>-400371.29397850612</v>
      </c>
      <c r="BK739" s="1">
        <f t="shared" si="83"/>
        <v>-435709.41358894843</v>
      </c>
      <c r="BL739" s="26">
        <f t="shared" si="78"/>
        <v>0</v>
      </c>
      <c r="BM739" s="26">
        <f t="shared" si="84"/>
        <v>0</v>
      </c>
      <c r="BN739">
        <f t="shared" si="79"/>
        <v>61.416666666667318</v>
      </c>
      <c r="BO739">
        <f t="shared" si="80"/>
        <v>61.416666666667318</v>
      </c>
    </row>
    <row r="740" spans="61:67" x14ac:dyDescent="0.25">
      <c r="BI740" s="2">
        <f t="shared" si="81"/>
        <v>61.500000000000654</v>
      </c>
      <c r="BJ740" s="1">
        <f t="shared" si="82"/>
        <v>-402252.26862519974</v>
      </c>
      <c r="BK740" s="1">
        <f t="shared" si="83"/>
        <v>-437683.15079961944</v>
      </c>
      <c r="BL740" s="26">
        <f t="shared" si="78"/>
        <v>0</v>
      </c>
      <c r="BM740" s="26">
        <f t="shared" si="84"/>
        <v>0</v>
      </c>
      <c r="BN740">
        <f t="shared" si="79"/>
        <v>61.500000000000654</v>
      </c>
      <c r="BO740">
        <f t="shared" si="80"/>
        <v>61.500000000000654</v>
      </c>
    </row>
    <row r="741" spans="61:67" x14ac:dyDescent="0.25">
      <c r="BI741" s="2">
        <f t="shared" si="81"/>
        <v>61.583333333333989</v>
      </c>
      <c r="BJ741" s="1">
        <f t="shared" si="82"/>
        <v>-404138.18083034095</v>
      </c>
      <c r="BK741" s="1">
        <f t="shared" si="83"/>
        <v>-439662.06907046848</v>
      </c>
      <c r="BL741" s="26">
        <f t="shared" si="78"/>
        <v>0</v>
      </c>
      <c r="BM741" s="26">
        <f t="shared" si="84"/>
        <v>0</v>
      </c>
      <c r="BN741">
        <f t="shared" si="79"/>
        <v>61.583333333333989</v>
      </c>
      <c r="BO741">
        <f t="shared" si="80"/>
        <v>61.583333333333989</v>
      </c>
    </row>
    <row r="742" spans="61:67" x14ac:dyDescent="0.25">
      <c r="BI742" s="2">
        <f t="shared" si="81"/>
        <v>61.666666666667325</v>
      </c>
      <c r="BJ742" s="1">
        <f t="shared" si="82"/>
        <v>-406029.04355502065</v>
      </c>
      <c r="BK742" s="1">
        <f t="shared" si="83"/>
        <v>-441646.18200177851</v>
      </c>
      <c r="BL742" s="26">
        <f t="shared" si="78"/>
        <v>0</v>
      </c>
      <c r="BM742" s="26">
        <f t="shared" si="84"/>
        <v>0</v>
      </c>
      <c r="BN742">
        <f t="shared" si="79"/>
        <v>61.666666666667325</v>
      </c>
      <c r="BO742">
        <f t="shared" si="80"/>
        <v>61.666666666667325</v>
      </c>
    </row>
    <row r="743" spans="61:67" x14ac:dyDescent="0.25">
      <c r="BI743" s="2">
        <f t="shared" si="81"/>
        <v>61.750000000000661</v>
      </c>
      <c r="BJ743" s="1">
        <f t="shared" si="82"/>
        <v>-407924.86979435262</v>
      </c>
      <c r="BK743" s="1">
        <f t="shared" si="83"/>
        <v>-443635.50322953321</v>
      </c>
      <c r="BL743" s="26">
        <f t="shared" si="78"/>
        <v>0</v>
      </c>
      <c r="BM743" s="26">
        <f t="shared" si="84"/>
        <v>0</v>
      </c>
      <c r="BN743">
        <f t="shared" si="79"/>
        <v>61.750000000000661</v>
      </c>
      <c r="BO743">
        <f t="shared" si="80"/>
        <v>61.750000000000661</v>
      </c>
    </row>
    <row r="744" spans="61:67" x14ac:dyDescent="0.25">
      <c r="BI744" s="2">
        <f t="shared" si="81"/>
        <v>61.833333333333997</v>
      </c>
      <c r="BJ744" s="1">
        <f t="shared" si="82"/>
        <v>-409825.67257756286</v>
      </c>
      <c r="BK744" s="1">
        <f t="shared" si="83"/>
        <v>-445630.04642551078</v>
      </c>
      <c r="BL744" s="26">
        <f t="shared" si="78"/>
        <v>0</v>
      </c>
      <c r="BM744" s="26">
        <f t="shared" si="84"/>
        <v>0</v>
      </c>
      <c r="BN744">
        <f t="shared" si="79"/>
        <v>61.833333333333997</v>
      </c>
      <c r="BO744">
        <f t="shared" si="80"/>
        <v>61.833333333333997</v>
      </c>
    </row>
    <row r="745" spans="61:67" x14ac:dyDescent="0.25">
      <c r="BI745" s="2">
        <f t="shared" si="81"/>
        <v>61.916666666667332</v>
      </c>
      <c r="BJ745" s="1">
        <f t="shared" si="82"/>
        <v>-411731.464968079</v>
      </c>
      <c r="BK745" s="1">
        <f t="shared" si="83"/>
        <v>-447629.82529737777</v>
      </c>
      <c r="BL745" s="26">
        <f t="shared" si="78"/>
        <v>0</v>
      </c>
      <c r="BM745" s="26">
        <f t="shared" si="84"/>
        <v>0</v>
      </c>
      <c r="BN745">
        <f t="shared" si="79"/>
        <v>61.916666666667332</v>
      </c>
      <c r="BO745">
        <f t="shared" si="80"/>
        <v>61.916666666667332</v>
      </c>
    </row>
    <row r="746" spans="61:67" x14ac:dyDescent="0.25">
      <c r="BI746" s="2">
        <f t="shared" si="81"/>
        <v>62.000000000000668</v>
      </c>
      <c r="BJ746" s="1">
        <f t="shared" si="82"/>
        <v>-413642.26006362023</v>
      </c>
      <c r="BK746" s="1">
        <f t="shared" si="83"/>
        <v>-449634.85358878342</v>
      </c>
      <c r="BL746" s="26">
        <f t="shared" si="78"/>
        <v>0</v>
      </c>
      <c r="BM746" s="26">
        <f t="shared" si="84"/>
        <v>0</v>
      </c>
      <c r="BN746">
        <f t="shared" si="79"/>
        <v>62.000000000000668</v>
      </c>
      <c r="BO746">
        <f t="shared" si="80"/>
        <v>62.000000000000668</v>
      </c>
    </row>
    <row r="747" spans="61:67" x14ac:dyDescent="0.25">
      <c r="BI747" s="2">
        <f t="shared" si="81"/>
        <v>62.083333333334004</v>
      </c>
      <c r="BJ747" s="1">
        <f t="shared" si="82"/>
        <v>-415558.07099628728</v>
      </c>
      <c r="BK747" s="1">
        <f t="shared" si="83"/>
        <v>-451645.145079454</v>
      </c>
      <c r="BL747" s="26">
        <f t="shared" si="78"/>
        <v>0</v>
      </c>
      <c r="BM747" s="26">
        <f t="shared" si="84"/>
        <v>0</v>
      </c>
      <c r="BN747">
        <f t="shared" si="79"/>
        <v>62.083333333334004</v>
      </c>
      <c r="BO747">
        <f t="shared" si="80"/>
        <v>62.083333333334004</v>
      </c>
    </row>
    <row r="748" spans="61:67" x14ac:dyDescent="0.25">
      <c r="BI748" s="2">
        <f t="shared" si="81"/>
        <v>62.166666666667339</v>
      </c>
      <c r="BJ748" s="1">
        <f t="shared" si="82"/>
        <v>-417478.91093265259</v>
      </c>
      <c r="BK748" s="1">
        <f t="shared" si="83"/>
        <v>-453660.71358528762</v>
      </c>
      <c r="BL748" s="26">
        <f t="shared" si="78"/>
        <v>0</v>
      </c>
      <c r="BM748" s="26">
        <f t="shared" si="84"/>
        <v>0</v>
      </c>
      <c r="BN748">
        <f t="shared" si="79"/>
        <v>62.166666666667339</v>
      </c>
      <c r="BO748">
        <f t="shared" si="80"/>
        <v>62.166666666667339</v>
      </c>
    </row>
    <row r="749" spans="61:67" x14ac:dyDescent="0.25">
      <c r="BI749" s="2">
        <f t="shared" si="81"/>
        <v>62.250000000000675</v>
      </c>
      <c r="BJ749" s="1">
        <f t="shared" si="82"/>
        <v>-419404.79307385086</v>
      </c>
      <c r="BK749" s="1">
        <f t="shared" si="83"/>
        <v>-455681.57295844908</v>
      </c>
      <c r="BL749" s="26">
        <f t="shared" si="78"/>
        <v>0</v>
      </c>
      <c r="BM749" s="26">
        <f t="shared" si="84"/>
        <v>0</v>
      </c>
      <c r="BN749">
        <f t="shared" si="79"/>
        <v>62.250000000000675</v>
      </c>
      <c r="BO749">
        <f t="shared" si="80"/>
        <v>62.250000000000675</v>
      </c>
    </row>
    <row r="750" spans="61:67" x14ac:dyDescent="0.25">
      <c r="BI750" s="2">
        <f t="shared" si="81"/>
        <v>62.333333333334011</v>
      </c>
      <c r="BJ750" s="1">
        <f t="shared" si="82"/>
        <v>-421335.73065566976</v>
      </c>
      <c r="BK750" s="1">
        <f t="shared" si="83"/>
        <v>-457707.73708746507</v>
      </c>
      <c r="BL750" s="26">
        <f t="shared" si="78"/>
        <v>0</v>
      </c>
      <c r="BM750" s="26">
        <f t="shared" si="84"/>
        <v>0</v>
      </c>
      <c r="BN750">
        <f t="shared" si="79"/>
        <v>62.333333333334011</v>
      </c>
      <c r="BO750">
        <f t="shared" si="80"/>
        <v>62.333333333334011</v>
      </c>
    </row>
    <row r="751" spans="61:67" x14ac:dyDescent="0.25">
      <c r="BI751" s="2">
        <f t="shared" si="81"/>
        <v>62.416666666667346</v>
      </c>
      <c r="BJ751" s="1">
        <f t="shared" si="82"/>
        <v>-423271.73694864096</v>
      </c>
      <c r="BK751" s="1">
        <f t="shared" si="83"/>
        <v>-459739.21989731968</v>
      </c>
      <c r="BL751" s="26">
        <f t="shared" si="78"/>
        <v>0</v>
      </c>
      <c r="BM751" s="26">
        <f t="shared" si="84"/>
        <v>0</v>
      </c>
      <c r="BN751">
        <f t="shared" si="79"/>
        <v>62.416666666667346</v>
      </c>
      <c r="BO751">
        <f t="shared" si="80"/>
        <v>62.416666666667346</v>
      </c>
    </row>
    <row r="752" spans="61:67" x14ac:dyDescent="0.25">
      <c r="BI752" s="2">
        <f t="shared" si="81"/>
        <v>62.500000000000682</v>
      </c>
      <c r="BJ752" s="1">
        <f t="shared" si="82"/>
        <v>-425212.8252581312</v>
      </c>
      <c r="BK752" s="1">
        <f t="shared" si="83"/>
        <v>-461776.03534955019</v>
      </c>
      <c r="BL752" s="26">
        <f t="shared" si="78"/>
        <v>0</v>
      </c>
      <c r="BM752" s="26">
        <f t="shared" si="84"/>
        <v>0</v>
      </c>
      <c r="BN752">
        <f t="shared" si="79"/>
        <v>62.500000000000682</v>
      </c>
      <c r="BO752">
        <f t="shared" si="80"/>
        <v>62.500000000000682</v>
      </c>
    </row>
    <row r="753" spans="61:67" x14ac:dyDescent="0.25">
      <c r="BI753" s="2">
        <f t="shared" si="81"/>
        <v>62.583333333334018</v>
      </c>
      <c r="BJ753" s="1">
        <f t="shared" si="82"/>
        <v>-427159.00892443385</v>
      </c>
      <c r="BK753" s="1">
        <f t="shared" si="83"/>
        <v>-463818.19744234282</v>
      </c>
      <c r="BL753" s="26">
        <f t="shared" si="78"/>
        <v>0</v>
      </c>
      <c r="BM753" s="26">
        <f t="shared" si="84"/>
        <v>0</v>
      </c>
      <c r="BN753">
        <f t="shared" si="79"/>
        <v>62.583333333334018</v>
      </c>
      <c r="BO753">
        <f t="shared" si="80"/>
        <v>62.583333333334018</v>
      </c>
    </row>
    <row r="754" spans="61:67" x14ac:dyDescent="0.25">
      <c r="BI754" s="2">
        <f t="shared" si="81"/>
        <v>62.666666666667354</v>
      </c>
      <c r="BJ754" s="1">
        <f t="shared" si="82"/>
        <v>-429110.30132286053</v>
      </c>
      <c r="BK754" s="1">
        <f t="shared" si="83"/>
        <v>-465865.72021062899</v>
      </c>
      <c r="BL754" s="26">
        <f t="shared" si="78"/>
        <v>0</v>
      </c>
      <c r="BM754" s="26">
        <f t="shared" si="84"/>
        <v>0</v>
      </c>
      <c r="BN754">
        <f t="shared" si="79"/>
        <v>62.666666666667354</v>
      </c>
      <c r="BO754">
        <f t="shared" si="80"/>
        <v>62.666666666667354</v>
      </c>
    </row>
    <row r="755" spans="61:67" x14ac:dyDescent="0.25">
      <c r="BI755" s="2">
        <f t="shared" si="81"/>
        <v>62.750000000000689</v>
      </c>
      <c r="BJ755" s="1">
        <f t="shared" si="82"/>
        <v>-431066.71586383309</v>
      </c>
      <c r="BK755" s="1">
        <f t="shared" si="83"/>
        <v>-467918.61772618192</v>
      </c>
      <c r="BL755" s="26">
        <f t="shared" si="78"/>
        <v>0</v>
      </c>
      <c r="BM755" s="26">
        <f t="shared" si="84"/>
        <v>0</v>
      </c>
      <c r="BN755">
        <f t="shared" si="79"/>
        <v>62.750000000000689</v>
      </c>
      <c r="BO755">
        <f t="shared" si="80"/>
        <v>62.750000000000689</v>
      </c>
    </row>
    <row r="756" spans="61:67" x14ac:dyDescent="0.25">
      <c r="BI756" s="2">
        <f t="shared" si="81"/>
        <v>62.833333333334025</v>
      </c>
      <c r="BJ756" s="1">
        <f t="shared" si="82"/>
        <v>-433028.26599297568</v>
      </c>
      <c r="BK756" s="1">
        <f t="shared" si="83"/>
        <v>-469976.90409771318</v>
      </c>
      <c r="BL756" s="26">
        <f t="shared" si="78"/>
        <v>0</v>
      </c>
      <c r="BM756" s="26">
        <f t="shared" si="84"/>
        <v>0</v>
      </c>
      <c r="BN756">
        <f t="shared" si="79"/>
        <v>62.833333333334025</v>
      </c>
      <c r="BO756">
        <f t="shared" si="80"/>
        <v>62.833333333334025</v>
      </c>
    </row>
    <row r="757" spans="61:67" x14ac:dyDescent="0.25">
      <c r="BI757" s="2">
        <f t="shared" si="81"/>
        <v>62.916666666667361</v>
      </c>
      <c r="BJ757" s="1">
        <f t="shared" si="82"/>
        <v>-434994.9651912073</v>
      </c>
      <c r="BK757" s="1">
        <f t="shared" si="83"/>
        <v>-472040.5934709697</v>
      </c>
      <c r="BL757" s="26">
        <f t="shared" si="78"/>
        <v>0</v>
      </c>
      <c r="BM757" s="26">
        <f t="shared" si="84"/>
        <v>0</v>
      </c>
      <c r="BN757">
        <f t="shared" si="79"/>
        <v>62.916666666667361</v>
      </c>
      <c r="BO757">
        <f t="shared" si="80"/>
        <v>62.916666666667361</v>
      </c>
    </row>
    <row r="758" spans="61:67" x14ac:dyDescent="0.25">
      <c r="BI758" s="2">
        <f t="shared" si="81"/>
        <v>63.000000000000696</v>
      </c>
      <c r="BJ758" s="1">
        <f t="shared" si="82"/>
        <v>-436966.82697483426</v>
      </c>
      <c r="BK758" s="1">
        <f t="shared" si="83"/>
        <v>-474109.70002883102</v>
      </c>
      <c r="BL758" s="26">
        <f t="shared" si="78"/>
        <v>0</v>
      </c>
      <c r="BM758" s="26">
        <f t="shared" si="84"/>
        <v>0</v>
      </c>
      <c r="BN758">
        <f t="shared" si="79"/>
        <v>63.000000000000696</v>
      </c>
      <c r="BO758">
        <f t="shared" si="80"/>
        <v>63.000000000000696</v>
      </c>
    </row>
    <row r="759" spans="61:67" x14ac:dyDescent="0.25">
      <c r="BI759" s="2">
        <f t="shared" si="81"/>
        <v>63.083333333334032</v>
      </c>
      <c r="BJ759" s="1">
        <f t="shared" si="82"/>
        <v>-438943.86489564326</v>
      </c>
      <c r="BK759" s="1">
        <f t="shared" si="83"/>
        <v>-476184.23799140676</v>
      </c>
      <c r="BL759" s="26">
        <f t="shared" si="78"/>
        <v>0</v>
      </c>
      <c r="BM759" s="26">
        <f t="shared" si="84"/>
        <v>0</v>
      </c>
      <c r="BN759">
        <f t="shared" si="79"/>
        <v>63.083333333334032</v>
      </c>
      <c r="BO759">
        <f t="shared" si="80"/>
        <v>63.083333333334032</v>
      </c>
    </row>
    <row r="760" spans="61:67" x14ac:dyDescent="0.25">
      <c r="BI760" s="2">
        <f t="shared" si="81"/>
        <v>63.166666666667368</v>
      </c>
      <c r="BJ760" s="1">
        <f t="shared" si="82"/>
        <v>-440926.09254099434</v>
      </c>
      <c r="BK760" s="1">
        <f t="shared" si="83"/>
        <v>-478264.22161613422</v>
      </c>
      <c r="BL760" s="26">
        <f t="shared" si="78"/>
        <v>0</v>
      </c>
      <c r="BM760" s="26">
        <f t="shared" si="84"/>
        <v>0</v>
      </c>
      <c r="BN760">
        <f t="shared" si="79"/>
        <v>63.166666666667368</v>
      </c>
      <c r="BO760">
        <f t="shared" si="80"/>
        <v>63.166666666667368</v>
      </c>
    </row>
    <row r="761" spans="61:67" x14ac:dyDescent="0.25">
      <c r="BI761" s="2">
        <f t="shared" si="81"/>
        <v>63.250000000000703</v>
      </c>
      <c r="BJ761" s="1">
        <f t="shared" si="82"/>
        <v>-442913.52353391447</v>
      </c>
      <c r="BK761" s="1">
        <f t="shared" si="83"/>
        <v>-480349.66519787663</v>
      </c>
      <c r="BL761" s="26">
        <f t="shared" si="78"/>
        <v>0</v>
      </c>
      <c r="BM761" s="26">
        <f t="shared" si="84"/>
        <v>0</v>
      </c>
      <c r="BN761">
        <f t="shared" si="79"/>
        <v>63.250000000000703</v>
      </c>
      <c r="BO761">
        <f t="shared" si="80"/>
        <v>63.250000000000703</v>
      </c>
    </row>
    <row r="762" spans="61:67" x14ac:dyDescent="0.25">
      <c r="BI762" s="2">
        <f t="shared" si="81"/>
        <v>63.333333333334039</v>
      </c>
      <c r="BJ762" s="1">
        <f t="shared" si="82"/>
        <v>-444906.17153319105</v>
      </c>
      <c r="BK762" s="1">
        <f t="shared" si="83"/>
        <v>-482440.58306902112</v>
      </c>
      <c r="BL762" s="26">
        <f t="shared" si="78"/>
        <v>0</v>
      </c>
      <c r="BM762" s="26">
        <f t="shared" si="84"/>
        <v>0</v>
      </c>
      <c r="BN762">
        <f t="shared" si="79"/>
        <v>63.333333333334039</v>
      </c>
      <c r="BO762">
        <f t="shared" si="80"/>
        <v>63.333333333334039</v>
      </c>
    </row>
    <row r="763" spans="61:67" x14ac:dyDescent="0.25">
      <c r="BI763" s="2">
        <f t="shared" si="81"/>
        <v>63.416666666667375</v>
      </c>
      <c r="BJ763" s="1">
        <f t="shared" si="82"/>
        <v>-446904.05023346574</v>
      </c>
      <c r="BK763" s="1">
        <f t="shared" si="83"/>
        <v>-484536.98959957733</v>
      </c>
      <c r="BL763" s="26">
        <f t="shared" si="78"/>
        <v>0</v>
      </c>
      <c r="BM763" s="26">
        <f t="shared" si="84"/>
        <v>0</v>
      </c>
      <c r="BN763">
        <f t="shared" si="79"/>
        <v>63.416666666667375</v>
      </c>
      <c r="BO763">
        <f t="shared" si="80"/>
        <v>63.416666666667375</v>
      </c>
    </row>
    <row r="764" spans="61:67" x14ac:dyDescent="0.25">
      <c r="BI764" s="2">
        <f t="shared" si="81"/>
        <v>63.500000000000711</v>
      </c>
      <c r="BJ764" s="1">
        <f t="shared" si="82"/>
        <v>-448907.17336532864</v>
      </c>
      <c r="BK764" s="1">
        <f t="shared" si="83"/>
        <v>-486638.89919727627</v>
      </c>
      <c r="BL764" s="26">
        <f t="shared" si="78"/>
        <v>0</v>
      </c>
      <c r="BM764" s="26">
        <f t="shared" si="84"/>
        <v>0</v>
      </c>
      <c r="BN764">
        <f t="shared" si="79"/>
        <v>63.500000000000711</v>
      </c>
      <c r="BO764">
        <f t="shared" si="80"/>
        <v>63.500000000000711</v>
      </c>
    </row>
    <row r="765" spans="61:67" x14ac:dyDescent="0.25">
      <c r="BI765" s="2">
        <f t="shared" si="81"/>
        <v>63.583333333334046</v>
      </c>
      <c r="BJ765" s="1">
        <f t="shared" si="82"/>
        <v>-450915.55469541269</v>
      </c>
      <c r="BK765" s="1">
        <f t="shared" si="83"/>
        <v>-488746.32630766917</v>
      </c>
      <c r="BL765" s="26">
        <f t="shared" si="78"/>
        <v>0</v>
      </c>
      <c r="BM765" s="26">
        <f t="shared" si="84"/>
        <v>0</v>
      </c>
      <c r="BN765">
        <f t="shared" si="79"/>
        <v>63.583333333334046</v>
      </c>
      <c r="BO765">
        <f t="shared" si="80"/>
        <v>63.583333333334046</v>
      </c>
    </row>
    <row r="766" spans="61:67" x14ac:dyDescent="0.25">
      <c r="BI766" s="2">
        <f t="shared" si="81"/>
        <v>63.666666666667382</v>
      </c>
      <c r="BJ766" s="1">
        <f t="shared" si="82"/>
        <v>-452929.2080264882</v>
      </c>
      <c r="BK766" s="1">
        <f t="shared" si="83"/>
        <v>-490859.28541422682</v>
      </c>
      <c r="BL766" s="26">
        <f t="shared" si="78"/>
        <v>0</v>
      </c>
      <c r="BM766" s="26">
        <f t="shared" si="84"/>
        <v>0</v>
      </c>
      <c r="BN766">
        <f t="shared" si="79"/>
        <v>63.666666666667382</v>
      </c>
      <c r="BO766">
        <f t="shared" si="80"/>
        <v>63.666666666667382</v>
      </c>
    </row>
    <row r="767" spans="61:67" x14ac:dyDescent="0.25">
      <c r="BI767" s="2">
        <f t="shared" si="81"/>
        <v>63.750000000000718</v>
      </c>
      <c r="BJ767" s="1">
        <f t="shared" si="82"/>
        <v>-454948.14719755779</v>
      </c>
      <c r="BK767" s="1">
        <f t="shared" si="83"/>
        <v>-492977.7910384392</v>
      </c>
      <c r="BL767" s="26">
        <f t="shared" si="78"/>
        <v>0</v>
      </c>
      <c r="BM767" s="26">
        <f t="shared" si="84"/>
        <v>0</v>
      </c>
      <c r="BN767">
        <f t="shared" si="79"/>
        <v>63.750000000000718</v>
      </c>
      <c r="BO767">
        <f t="shared" si="80"/>
        <v>63.750000000000718</v>
      </c>
    </row>
    <row r="768" spans="61:67" x14ac:dyDescent="0.25">
      <c r="BI768" s="2">
        <f t="shared" si="81"/>
        <v>63.833333333334053</v>
      </c>
      <c r="BJ768" s="1">
        <f t="shared" si="82"/>
        <v>-456972.38608395139</v>
      </c>
      <c r="BK768" s="1">
        <f t="shared" si="83"/>
        <v>-495101.85773991514</v>
      </c>
      <c r="BL768" s="26">
        <f t="shared" si="78"/>
        <v>0</v>
      </c>
      <c r="BM768" s="26">
        <f t="shared" si="84"/>
        <v>0</v>
      </c>
      <c r="BN768">
        <f t="shared" si="79"/>
        <v>63.833333333334053</v>
      </c>
      <c r="BO768">
        <f t="shared" si="80"/>
        <v>63.833333333334053</v>
      </c>
    </row>
    <row r="769" spans="61:67" x14ac:dyDescent="0.25">
      <c r="BI769" s="2">
        <f t="shared" si="81"/>
        <v>63.916666666667389</v>
      </c>
      <c r="BJ769" s="1">
        <f t="shared" si="82"/>
        <v>-459001.9385974218</v>
      </c>
      <c r="BK769" s="1">
        <f t="shared" si="83"/>
        <v>-497231.50011648249</v>
      </c>
      <c r="BL769" s="26">
        <f t="shared" si="78"/>
        <v>0</v>
      </c>
      <c r="BM769" s="26">
        <f t="shared" si="84"/>
        <v>0</v>
      </c>
      <c r="BN769">
        <f t="shared" si="79"/>
        <v>63.916666666667389</v>
      </c>
      <c r="BO769">
        <f t="shared" si="80"/>
        <v>63.916666666667389</v>
      </c>
    </row>
    <row r="770" spans="61:67" x14ac:dyDescent="0.25">
      <c r="BI770" s="2">
        <f t="shared" si="81"/>
        <v>64.000000000000725</v>
      </c>
      <c r="BJ770" s="1">
        <f t="shared" si="82"/>
        <v>-461036.81868624006</v>
      </c>
      <c r="BK770" s="1">
        <f t="shared" si="83"/>
        <v>-499366.73280428833</v>
      </c>
      <c r="BL770" s="26">
        <f t="shared" ref="BL770:BL833" si="85">IF(BI770&gt;$G$12,0,1)</f>
        <v>0</v>
      </c>
      <c r="BM770" s="26">
        <f t="shared" si="84"/>
        <v>0</v>
      </c>
      <c r="BN770">
        <f t="shared" ref="BN770:BN833" si="86">IF(BK770&lt;0,BI770,999)</f>
        <v>64.000000000000725</v>
      </c>
      <c r="BO770">
        <f t="shared" ref="BO770:BO833" si="87">IF(BJ770&lt;0,BI770,999)</f>
        <v>64.000000000000725</v>
      </c>
    </row>
    <row r="771" spans="61:67" x14ac:dyDescent="0.25">
      <c r="BI771" s="2">
        <f t="shared" ref="BI771:BI834" si="88">BI770+1/12</f>
        <v>64.083333333334053</v>
      </c>
      <c r="BJ771" s="1">
        <f t="shared" ref="BJ771:BJ834" si="89">BJ770*(1+$C$4/12) - $C$3</f>
        <v>-463077.04033529147</v>
      </c>
      <c r="BK771" s="1">
        <f t="shared" si="83"/>
        <v>-501507.57047789963</v>
      </c>
      <c r="BL771" s="26">
        <f t="shared" si="85"/>
        <v>0</v>
      </c>
      <c r="BM771" s="26">
        <f t="shared" si="84"/>
        <v>0</v>
      </c>
      <c r="BN771">
        <f t="shared" si="86"/>
        <v>64.083333333334053</v>
      </c>
      <c r="BO771">
        <f t="shared" si="87"/>
        <v>64.083333333334053</v>
      </c>
    </row>
    <row r="772" spans="61:67" x14ac:dyDescent="0.25">
      <c r="BI772" s="2">
        <f t="shared" si="88"/>
        <v>64.166666666667382</v>
      </c>
      <c r="BJ772" s="1">
        <f t="shared" si="89"/>
        <v>-465122.61756617168</v>
      </c>
      <c r="BK772" s="1">
        <f t="shared" ref="BK772:BK835" si="90">BK771*(1+$D$4/12)-$C$3-($D$3-$C$3)*BL772</f>
        <v>-503654.02785040415</v>
      </c>
      <c r="BL772" s="26">
        <f t="shared" si="85"/>
        <v>0</v>
      </c>
      <c r="BM772" s="26">
        <f t="shared" si="84"/>
        <v>0</v>
      </c>
      <c r="BN772">
        <f t="shared" si="86"/>
        <v>64.166666666667382</v>
      </c>
      <c r="BO772">
        <f t="shared" si="87"/>
        <v>64.166666666667382</v>
      </c>
    </row>
    <row r="773" spans="61:67" x14ac:dyDescent="0.25">
      <c r="BI773" s="2">
        <f t="shared" si="88"/>
        <v>64.250000000000711</v>
      </c>
      <c r="BJ773" s="1">
        <f t="shared" si="89"/>
        <v>-467173.56443728291</v>
      </c>
      <c r="BK773" s="1">
        <f t="shared" si="90"/>
        <v>-505806.11967351154</v>
      </c>
      <c r="BL773" s="26">
        <f t="shared" si="85"/>
        <v>0</v>
      </c>
      <c r="BM773" s="26">
        <f t="shared" si="84"/>
        <v>0</v>
      </c>
      <c r="BN773">
        <f t="shared" si="86"/>
        <v>64.250000000000711</v>
      </c>
      <c r="BO773">
        <f t="shared" si="87"/>
        <v>64.250000000000711</v>
      </c>
    </row>
    <row r="774" spans="61:67" x14ac:dyDescent="0.25">
      <c r="BI774" s="2">
        <f t="shared" si="88"/>
        <v>64.333333333334039</v>
      </c>
      <c r="BJ774" s="1">
        <f t="shared" si="89"/>
        <v>-469229.89504393085</v>
      </c>
      <c r="BK774" s="1">
        <f t="shared" si="90"/>
        <v>-507963.86073765456</v>
      </c>
      <c r="BL774" s="26">
        <f t="shared" si="85"/>
        <v>0</v>
      </c>
      <c r="BM774" s="26">
        <f t="shared" si="84"/>
        <v>0</v>
      </c>
      <c r="BN774">
        <f t="shared" si="86"/>
        <v>64.333333333334039</v>
      </c>
      <c r="BO774">
        <f t="shared" si="87"/>
        <v>64.333333333334039</v>
      </c>
    </row>
    <row r="775" spans="61:67" x14ac:dyDescent="0.25">
      <c r="BI775" s="2">
        <f t="shared" si="88"/>
        <v>64.416666666667368</v>
      </c>
      <c r="BJ775" s="1">
        <f t="shared" si="89"/>
        <v>-471291.6235184212</v>
      </c>
      <c r="BK775" s="1">
        <f t="shared" si="90"/>
        <v>-510127.26587209094</v>
      </c>
      <c r="BL775" s="26">
        <f t="shared" si="85"/>
        <v>0</v>
      </c>
      <c r="BM775" s="26">
        <f t="shared" si="84"/>
        <v>0</v>
      </c>
      <c r="BN775">
        <f t="shared" si="86"/>
        <v>64.416666666667368</v>
      </c>
      <c r="BO775">
        <f t="shared" si="87"/>
        <v>64.416666666667368</v>
      </c>
    </row>
    <row r="776" spans="61:67" x14ac:dyDescent="0.25">
      <c r="BI776" s="2">
        <f t="shared" si="88"/>
        <v>64.500000000000696</v>
      </c>
      <c r="BJ776" s="1">
        <f t="shared" si="89"/>
        <v>-473358.76403015712</v>
      </c>
      <c r="BK776" s="1">
        <f t="shared" si="90"/>
        <v>-512296.3499450052</v>
      </c>
      <c r="BL776" s="26">
        <f t="shared" si="85"/>
        <v>0</v>
      </c>
      <c r="BM776" s="26">
        <f t="shared" si="84"/>
        <v>0</v>
      </c>
      <c r="BN776">
        <f t="shared" si="86"/>
        <v>64.500000000000696</v>
      </c>
      <c r="BO776">
        <f t="shared" si="87"/>
        <v>64.500000000000696</v>
      </c>
    </row>
    <row r="777" spans="61:67" x14ac:dyDescent="0.25">
      <c r="BI777" s="2">
        <f t="shared" si="88"/>
        <v>64.583333333334025</v>
      </c>
      <c r="BJ777" s="1">
        <f t="shared" si="89"/>
        <v>-475431.33078573633</v>
      </c>
      <c r="BK777" s="1">
        <f t="shared" si="90"/>
        <v>-514471.12786361092</v>
      </c>
      <c r="BL777" s="26">
        <f t="shared" si="85"/>
        <v>0</v>
      </c>
      <c r="BM777" s="26">
        <f t="shared" si="84"/>
        <v>0</v>
      </c>
      <c r="BN777">
        <f t="shared" si="86"/>
        <v>64.583333333334025</v>
      </c>
      <c r="BO777">
        <f t="shared" si="87"/>
        <v>64.583333333334025</v>
      </c>
    </row>
    <row r="778" spans="61:67" x14ac:dyDescent="0.25">
      <c r="BI778" s="2">
        <f t="shared" si="88"/>
        <v>64.666666666667354</v>
      </c>
      <c r="BJ778" s="1">
        <f t="shared" si="89"/>
        <v>-477509.33802904893</v>
      </c>
      <c r="BK778" s="1">
        <f t="shared" si="90"/>
        <v>-516651.61457425298</v>
      </c>
      <c r="BL778" s="26">
        <f t="shared" si="85"/>
        <v>0</v>
      </c>
      <c r="BM778" s="26">
        <f t="shared" si="84"/>
        <v>0</v>
      </c>
      <c r="BN778">
        <f t="shared" si="86"/>
        <v>64.666666666667354</v>
      </c>
      <c r="BO778">
        <f t="shared" si="87"/>
        <v>64.666666666667354</v>
      </c>
    </row>
    <row r="779" spans="61:67" x14ac:dyDescent="0.25">
      <c r="BI779" s="2">
        <f t="shared" si="88"/>
        <v>64.750000000000682</v>
      </c>
      <c r="BJ779" s="1">
        <f t="shared" si="89"/>
        <v>-479592.80004137522</v>
      </c>
      <c r="BK779" s="1">
        <f t="shared" si="90"/>
        <v>-518837.82506251044</v>
      </c>
      <c r="BL779" s="26">
        <f t="shared" si="85"/>
        <v>0</v>
      </c>
      <c r="BM779" s="26">
        <f t="shared" si="84"/>
        <v>0</v>
      </c>
      <c r="BN779">
        <f t="shared" si="86"/>
        <v>64.750000000000682</v>
      </c>
      <c r="BO779">
        <f t="shared" si="87"/>
        <v>64.750000000000682</v>
      </c>
    </row>
    <row r="780" spans="61:67" x14ac:dyDescent="0.25">
      <c r="BI780" s="2">
        <f t="shared" si="88"/>
        <v>64.833333333334011</v>
      </c>
      <c r="BJ780" s="1">
        <f t="shared" si="89"/>
        <v>-481681.73114148388</v>
      </c>
      <c r="BK780" s="1">
        <f t="shared" si="90"/>
        <v>-521029.77435329958</v>
      </c>
      <c r="BL780" s="26">
        <f t="shared" si="85"/>
        <v>0</v>
      </c>
      <c r="BM780" s="26">
        <f t="shared" si="84"/>
        <v>0</v>
      </c>
      <c r="BN780">
        <f t="shared" si="86"/>
        <v>64.833333333334011</v>
      </c>
      <c r="BO780">
        <f t="shared" si="87"/>
        <v>64.833333333334011</v>
      </c>
    </row>
    <row r="781" spans="61:67" x14ac:dyDescent="0.25">
      <c r="BI781" s="2">
        <f t="shared" si="88"/>
        <v>64.916666666667339</v>
      </c>
      <c r="BJ781" s="1">
        <f t="shared" si="89"/>
        <v>-483776.14568573033</v>
      </c>
      <c r="BK781" s="1">
        <f t="shared" si="90"/>
        <v>-523227.47751097707</v>
      </c>
      <c r="BL781" s="26">
        <f t="shared" si="85"/>
        <v>0</v>
      </c>
      <c r="BM781" s="26">
        <f t="shared" si="84"/>
        <v>0</v>
      </c>
      <c r="BN781">
        <f t="shared" si="86"/>
        <v>64.916666666667339</v>
      </c>
      <c r="BO781">
        <f t="shared" si="87"/>
        <v>64.916666666667339</v>
      </c>
    </row>
    <row r="782" spans="61:67" x14ac:dyDescent="0.25">
      <c r="BI782" s="2">
        <f t="shared" si="88"/>
        <v>65.000000000000668</v>
      </c>
      <c r="BJ782" s="1">
        <f t="shared" si="89"/>
        <v>-485876.05806815543</v>
      </c>
      <c r="BK782" s="1">
        <f t="shared" si="90"/>
        <v>-525430.94963944342</v>
      </c>
      <c r="BL782" s="26">
        <f t="shared" si="85"/>
        <v>0</v>
      </c>
      <c r="BM782" s="26">
        <f t="shared" si="84"/>
        <v>0</v>
      </c>
      <c r="BN782">
        <f t="shared" si="86"/>
        <v>65.000000000000668</v>
      </c>
      <c r="BO782">
        <f t="shared" si="87"/>
        <v>65.000000000000668</v>
      </c>
    </row>
    <row r="783" spans="61:67" x14ac:dyDescent="0.25">
      <c r="BI783" s="2">
        <f t="shared" si="88"/>
        <v>65.083333333333997</v>
      </c>
      <c r="BJ783" s="1">
        <f t="shared" si="89"/>
        <v>-487981.48272058438</v>
      </c>
      <c r="BK783" s="1">
        <f t="shared" si="90"/>
        <v>-527640.20588224707</v>
      </c>
      <c r="BL783" s="26">
        <f t="shared" si="85"/>
        <v>0</v>
      </c>
      <c r="BM783" s="26">
        <f t="shared" si="84"/>
        <v>0</v>
      </c>
      <c r="BN783">
        <f t="shared" si="86"/>
        <v>65.083333333333997</v>
      </c>
      <c r="BO783">
        <f t="shared" si="87"/>
        <v>65.083333333333997</v>
      </c>
    </row>
    <row r="784" spans="61:67" x14ac:dyDescent="0.25">
      <c r="BI784" s="2">
        <f t="shared" si="88"/>
        <v>65.166666666667325</v>
      </c>
      <c r="BJ784" s="1">
        <f t="shared" si="89"/>
        <v>-490092.43411272595</v>
      </c>
      <c r="BK784" s="1">
        <f t="shared" si="90"/>
        <v>-529855.26142268803</v>
      </c>
      <c r="BL784" s="26">
        <f t="shared" si="85"/>
        <v>0</v>
      </c>
      <c r="BM784" s="26">
        <f t="shared" si="84"/>
        <v>0</v>
      </c>
      <c r="BN784">
        <f t="shared" si="86"/>
        <v>65.166666666667325</v>
      </c>
      <c r="BO784">
        <f t="shared" si="87"/>
        <v>65.166666666667325</v>
      </c>
    </row>
    <row r="785" spans="61:67" x14ac:dyDescent="0.25">
      <c r="BI785" s="2">
        <f t="shared" si="88"/>
        <v>65.250000000000654</v>
      </c>
      <c r="BJ785" s="1">
        <f t="shared" si="89"/>
        <v>-492208.92675227189</v>
      </c>
      <c r="BK785" s="1">
        <f t="shared" si="90"/>
        <v>-532076.1314839226</v>
      </c>
      <c r="BL785" s="26">
        <f t="shared" si="85"/>
        <v>0</v>
      </c>
      <c r="BM785" s="26">
        <f t="shared" si="84"/>
        <v>0</v>
      </c>
      <c r="BN785">
        <f t="shared" si="86"/>
        <v>65.250000000000654</v>
      </c>
      <c r="BO785">
        <f t="shared" si="87"/>
        <v>65.250000000000654</v>
      </c>
    </row>
    <row r="786" spans="61:67" x14ac:dyDescent="0.25">
      <c r="BI786" s="2">
        <f t="shared" si="88"/>
        <v>65.333333333333982</v>
      </c>
      <c r="BJ786" s="1">
        <f t="shared" si="89"/>
        <v>-494330.97518499667</v>
      </c>
      <c r="BK786" s="1">
        <f t="shared" si="90"/>
        <v>-534302.83132906794</v>
      </c>
      <c r="BL786" s="26">
        <f t="shared" si="85"/>
        <v>0</v>
      </c>
      <c r="BM786" s="26">
        <f t="shared" si="84"/>
        <v>0</v>
      </c>
      <c r="BN786">
        <f t="shared" si="86"/>
        <v>65.333333333333982</v>
      </c>
      <c r="BO786">
        <f t="shared" si="87"/>
        <v>65.333333333333982</v>
      </c>
    </row>
    <row r="787" spans="61:67" x14ac:dyDescent="0.25">
      <c r="BI787" s="2">
        <f t="shared" si="88"/>
        <v>65.416666666667311</v>
      </c>
      <c r="BJ787" s="1">
        <f t="shared" si="89"/>
        <v>-496458.59399485734</v>
      </c>
      <c r="BK787" s="1">
        <f t="shared" si="90"/>
        <v>-536535.37626130681</v>
      </c>
      <c r="BL787" s="26">
        <f t="shared" si="85"/>
        <v>0</v>
      </c>
      <c r="BM787" s="26">
        <f t="shared" si="84"/>
        <v>0</v>
      </c>
      <c r="BN787">
        <f t="shared" si="86"/>
        <v>65.416666666667311</v>
      </c>
      <c r="BO787">
        <f t="shared" si="87"/>
        <v>65.416666666667311</v>
      </c>
    </row>
    <row r="788" spans="61:67" x14ac:dyDescent="0.25">
      <c r="BI788" s="2">
        <f t="shared" si="88"/>
        <v>65.500000000000639</v>
      </c>
      <c r="BJ788" s="1">
        <f t="shared" si="89"/>
        <v>-498591.79780409386</v>
      </c>
      <c r="BK788" s="1">
        <f t="shared" si="90"/>
        <v>-538773.78162399284</v>
      </c>
      <c r="BL788" s="26">
        <f t="shared" si="85"/>
        <v>0</v>
      </c>
      <c r="BM788" s="26">
        <f t="shared" si="84"/>
        <v>0</v>
      </c>
      <c r="BN788">
        <f t="shared" si="86"/>
        <v>65.500000000000639</v>
      </c>
      <c r="BO788">
        <f t="shared" si="87"/>
        <v>65.500000000000639</v>
      </c>
    </row>
    <row r="789" spans="61:67" x14ac:dyDescent="0.25">
      <c r="BI789" s="2">
        <f t="shared" si="88"/>
        <v>65.583333333333968</v>
      </c>
      <c r="BJ789" s="1">
        <f t="shared" si="89"/>
        <v>-500730.60127332964</v>
      </c>
      <c r="BK789" s="1">
        <f t="shared" si="90"/>
        <v>-541018.06280075584</v>
      </c>
      <c r="BL789" s="26">
        <f t="shared" si="85"/>
        <v>0</v>
      </c>
      <c r="BM789" s="26">
        <f t="shared" si="84"/>
        <v>0</v>
      </c>
      <c r="BN789">
        <f t="shared" si="86"/>
        <v>65.583333333333968</v>
      </c>
      <c r="BO789">
        <f t="shared" si="87"/>
        <v>65.583333333333968</v>
      </c>
    </row>
    <row r="790" spans="61:67" x14ac:dyDescent="0.25">
      <c r="BI790" s="2">
        <f t="shared" si="88"/>
        <v>65.666666666667297</v>
      </c>
      <c r="BJ790" s="1">
        <f t="shared" si="89"/>
        <v>-502875.01910167217</v>
      </c>
      <c r="BK790" s="1">
        <f t="shared" si="90"/>
        <v>-543268.23521560791</v>
      </c>
      <c r="BL790" s="26">
        <f t="shared" si="85"/>
        <v>0</v>
      </c>
      <c r="BM790" s="26">
        <f t="shared" si="84"/>
        <v>0</v>
      </c>
      <c r="BN790">
        <f t="shared" si="86"/>
        <v>65.666666666667297</v>
      </c>
      <c r="BO790">
        <f t="shared" si="87"/>
        <v>65.666666666667297</v>
      </c>
    </row>
    <row r="791" spans="61:67" x14ac:dyDescent="0.25">
      <c r="BI791" s="2">
        <f t="shared" si="88"/>
        <v>65.750000000000625</v>
      </c>
      <c r="BJ791" s="1">
        <f t="shared" si="89"/>
        <v>-505025.06602681411</v>
      </c>
      <c r="BK791" s="1">
        <f t="shared" si="90"/>
        <v>-545524.31433304888</v>
      </c>
      <c r="BL791" s="26">
        <f t="shared" si="85"/>
        <v>0</v>
      </c>
      <c r="BM791" s="26">
        <f t="shared" si="84"/>
        <v>0</v>
      </c>
      <c r="BN791">
        <f t="shared" si="86"/>
        <v>65.750000000000625</v>
      </c>
      <c r="BO791">
        <f t="shared" si="87"/>
        <v>65.750000000000625</v>
      </c>
    </row>
    <row r="792" spans="61:67" x14ac:dyDescent="0.25">
      <c r="BI792" s="2">
        <f t="shared" si="88"/>
        <v>65.833333333333954</v>
      </c>
      <c r="BJ792" s="1">
        <f t="shared" si="89"/>
        <v>-507180.75682513457</v>
      </c>
      <c r="BK792" s="1">
        <f t="shared" si="90"/>
        <v>-547786.31565817317</v>
      </c>
      <c r="BL792" s="26">
        <f t="shared" si="85"/>
        <v>0</v>
      </c>
      <c r="BM792" s="26">
        <f t="shared" si="84"/>
        <v>0</v>
      </c>
      <c r="BN792">
        <f t="shared" si="86"/>
        <v>65.833333333333954</v>
      </c>
      <c r="BO792">
        <f t="shared" si="87"/>
        <v>65.833333333333954</v>
      </c>
    </row>
    <row r="793" spans="61:67" x14ac:dyDescent="0.25">
      <c r="BI793" s="2">
        <f t="shared" si="88"/>
        <v>65.916666666667282</v>
      </c>
      <c r="BJ793" s="1">
        <f t="shared" si="89"/>
        <v>-509342.1063118006</v>
      </c>
      <c r="BK793" s="1">
        <f t="shared" si="90"/>
        <v>-550054.25473677588</v>
      </c>
      <c r="BL793" s="26">
        <f t="shared" si="85"/>
        <v>0</v>
      </c>
      <c r="BM793" s="26">
        <f t="shared" si="84"/>
        <v>0</v>
      </c>
      <c r="BN793">
        <f t="shared" si="86"/>
        <v>65.916666666667282</v>
      </c>
      <c r="BO793">
        <f t="shared" si="87"/>
        <v>65.916666666667282</v>
      </c>
    </row>
    <row r="794" spans="61:67" x14ac:dyDescent="0.25">
      <c r="BI794" s="2">
        <f t="shared" si="88"/>
        <v>66.000000000000611</v>
      </c>
      <c r="BJ794" s="1">
        <f t="shared" si="89"/>
        <v>-511509.12934086914</v>
      </c>
      <c r="BK794" s="1">
        <f t="shared" si="90"/>
        <v>-552328.14715545997</v>
      </c>
      <c r="BL794" s="26">
        <f t="shared" si="85"/>
        <v>0</v>
      </c>
      <c r="BM794" s="26">
        <f t="shared" si="84"/>
        <v>0</v>
      </c>
      <c r="BN794">
        <f t="shared" si="86"/>
        <v>66.000000000000611</v>
      </c>
      <c r="BO794">
        <f t="shared" si="87"/>
        <v>66.000000000000611</v>
      </c>
    </row>
    <row r="795" spans="61:67" x14ac:dyDescent="0.25">
      <c r="BI795" s="2">
        <f t="shared" si="88"/>
        <v>66.08333333333394</v>
      </c>
      <c r="BJ795" s="1">
        <f t="shared" si="89"/>
        <v>-513681.84080538899</v>
      </c>
      <c r="BK795" s="1">
        <f t="shared" si="90"/>
        <v>-554608.00854174315</v>
      </c>
      <c r="BL795" s="26">
        <f t="shared" si="85"/>
        <v>0</v>
      </c>
      <c r="BM795" s="26">
        <f t="shared" ref="BM795:BM858" si="91">IF(AND(BL795&gt;0,BK795&gt;0),1,0)</f>
        <v>0</v>
      </c>
      <c r="BN795">
        <f t="shared" si="86"/>
        <v>66.08333333333394</v>
      </c>
      <c r="BO795">
        <f t="shared" si="87"/>
        <v>66.08333333333394</v>
      </c>
    </row>
    <row r="796" spans="61:67" x14ac:dyDescent="0.25">
      <c r="BI796" s="2">
        <f t="shared" si="88"/>
        <v>66.166666666667268</v>
      </c>
      <c r="BJ796" s="1">
        <f t="shared" si="89"/>
        <v>-515860.25563750317</v>
      </c>
      <c r="BK796" s="1">
        <f t="shared" si="90"/>
        <v>-556893.85456416523</v>
      </c>
      <c r="BL796" s="26">
        <f t="shared" si="85"/>
        <v>0</v>
      </c>
      <c r="BM796" s="26">
        <f t="shared" si="91"/>
        <v>0</v>
      </c>
      <c r="BN796">
        <f t="shared" si="86"/>
        <v>66.166666666667268</v>
      </c>
      <c r="BO796">
        <f t="shared" si="87"/>
        <v>66.166666666667268</v>
      </c>
    </row>
    <row r="797" spans="61:67" x14ac:dyDescent="0.25">
      <c r="BI797" s="2">
        <f t="shared" si="88"/>
        <v>66.250000000000597</v>
      </c>
      <c r="BJ797" s="1">
        <f t="shared" si="89"/>
        <v>-518044.38880855165</v>
      </c>
      <c r="BK797" s="1">
        <f t="shared" si="90"/>
        <v>-559185.70093239623</v>
      </c>
      <c r="BL797" s="26">
        <f t="shared" si="85"/>
        <v>0</v>
      </c>
      <c r="BM797" s="26">
        <f t="shared" si="91"/>
        <v>0</v>
      </c>
      <c r="BN797">
        <f t="shared" si="86"/>
        <v>66.250000000000597</v>
      </c>
      <c r="BO797">
        <f t="shared" si="87"/>
        <v>66.250000000000597</v>
      </c>
    </row>
    <row r="798" spans="61:67" x14ac:dyDescent="0.25">
      <c r="BI798" s="2">
        <f t="shared" si="88"/>
        <v>66.333333333333925</v>
      </c>
      <c r="BJ798" s="1">
        <f t="shared" si="89"/>
        <v>-520234.25532917416</v>
      </c>
      <c r="BK798" s="1">
        <f t="shared" si="90"/>
        <v>-561483.56339734385</v>
      </c>
      <c r="BL798" s="26">
        <f t="shared" si="85"/>
        <v>0</v>
      </c>
      <c r="BM798" s="26">
        <f t="shared" si="91"/>
        <v>0</v>
      </c>
      <c r="BN798">
        <f t="shared" si="86"/>
        <v>66.333333333333925</v>
      </c>
      <c r="BO798">
        <f t="shared" si="87"/>
        <v>66.333333333333925</v>
      </c>
    </row>
    <row r="799" spans="61:67" x14ac:dyDescent="0.25">
      <c r="BI799" s="2">
        <f t="shared" si="88"/>
        <v>66.416666666667254</v>
      </c>
      <c r="BJ799" s="1">
        <f t="shared" si="89"/>
        <v>-522429.8702494133</v>
      </c>
      <c r="BK799" s="1">
        <f t="shared" si="90"/>
        <v>-563787.45775126189</v>
      </c>
      <c r="BL799" s="26">
        <f t="shared" si="85"/>
        <v>0</v>
      </c>
      <c r="BM799" s="26">
        <f t="shared" si="91"/>
        <v>0</v>
      </c>
      <c r="BN799">
        <f t="shared" si="86"/>
        <v>66.416666666667254</v>
      </c>
      <c r="BO799">
        <f t="shared" si="87"/>
        <v>66.416666666667254</v>
      </c>
    </row>
    <row r="800" spans="61:67" x14ac:dyDescent="0.25">
      <c r="BI800" s="2">
        <f t="shared" si="88"/>
        <v>66.500000000000583</v>
      </c>
      <c r="BJ800" s="1">
        <f t="shared" si="89"/>
        <v>-524631.24865881808</v>
      </c>
      <c r="BK800" s="1">
        <f t="shared" si="90"/>
        <v>-566097.39982785902</v>
      </c>
      <c r="BL800" s="26">
        <f t="shared" si="85"/>
        <v>0</v>
      </c>
      <c r="BM800" s="26">
        <f t="shared" si="91"/>
        <v>0</v>
      </c>
      <c r="BN800">
        <f t="shared" si="86"/>
        <v>66.500000000000583</v>
      </c>
      <c r="BO800">
        <f t="shared" si="87"/>
        <v>66.500000000000583</v>
      </c>
    </row>
    <row r="801" spans="61:67" x14ac:dyDescent="0.25">
      <c r="BI801" s="2">
        <f t="shared" si="88"/>
        <v>66.583333333333911</v>
      </c>
      <c r="BJ801" s="1">
        <f t="shared" si="89"/>
        <v>-526838.40568654751</v>
      </c>
      <c r="BK801" s="1">
        <f t="shared" si="90"/>
        <v>-568413.40550240723</v>
      </c>
      <c r="BL801" s="26">
        <f t="shared" si="85"/>
        <v>0</v>
      </c>
      <c r="BM801" s="26">
        <f t="shared" si="91"/>
        <v>0</v>
      </c>
      <c r="BN801">
        <f t="shared" si="86"/>
        <v>66.583333333333911</v>
      </c>
      <c r="BO801">
        <f t="shared" si="87"/>
        <v>66.583333333333911</v>
      </c>
    </row>
    <row r="802" spans="61:67" x14ac:dyDescent="0.25">
      <c r="BI802" s="2">
        <f t="shared" si="88"/>
        <v>66.66666666666724</v>
      </c>
      <c r="BJ802" s="1">
        <f t="shared" si="89"/>
        <v>-529051.35650147474</v>
      </c>
      <c r="BK802" s="1">
        <f t="shared" si="90"/>
        <v>-570735.49069185113</v>
      </c>
      <c r="BL802" s="26">
        <f t="shared" si="85"/>
        <v>0</v>
      </c>
      <c r="BM802" s="26">
        <f t="shared" si="91"/>
        <v>0</v>
      </c>
      <c r="BN802">
        <f t="shared" si="86"/>
        <v>66.66666666666724</v>
      </c>
      <c r="BO802">
        <f t="shared" si="87"/>
        <v>66.66666666666724</v>
      </c>
    </row>
    <row r="803" spans="61:67" x14ac:dyDescent="0.25">
      <c r="BI803" s="2">
        <f t="shared" si="88"/>
        <v>66.750000000000568</v>
      </c>
      <c r="BJ803" s="1">
        <f t="shared" si="89"/>
        <v>-531270.11631229112</v>
      </c>
      <c r="BK803" s="1">
        <f t="shared" si="90"/>
        <v>-573063.67135491734</v>
      </c>
      <c r="BL803" s="26">
        <f t="shared" si="85"/>
        <v>0</v>
      </c>
      <c r="BM803" s="26">
        <f t="shared" si="91"/>
        <v>0</v>
      </c>
      <c r="BN803">
        <f t="shared" si="86"/>
        <v>66.750000000000568</v>
      </c>
      <c r="BO803">
        <f t="shared" si="87"/>
        <v>66.750000000000568</v>
      </c>
    </row>
    <row r="804" spans="61:67" x14ac:dyDescent="0.25">
      <c r="BI804" s="2">
        <f t="shared" si="88"/>
        <v>66.833333333333897</v>
      </c>
      <c r="BJ804" s="1">
        <f t="shared" si="89"/>
        <v>-533494.7003676109</v>
      </c>
      <c r="BK804" s="1">
        <f t="shared" si="90"/>
        <v>-575397.96349222411</v>
      </c>
      <c r="BL804" s="26">
        <f t="shared" si="85"/>
        <v>0</v>
      </c>
      <c r="BM804" s="26">
        <f t="shared" si="91"/>
        <v>0</v>
      </c>
      <c r="BN804">
        <f t="shared" si="86"/>
        <v>66.833333333333897</v>
      </c>
      <c r="BO804">
        <f t="shared" si="87"/>
        <v>66.833333333333897</v>
      </c>
    </row>
    <row r="805" spans="61:67" x14ac:dyDescent="0.25">
      <c r="BI805" s="2">
        <f t="shared" si="88"/>
        <v>66.916666666667226</v>
      </c>
      <c r="BJ805" s="1">
        <f t="shared" si="89"/>
        <v>-535725.12395607599</v>
      </c>
      <c r="BK805" s="1">
        <f t="shared" si="90"/>
        <v>-577738.38314639125</v>
      </c>
      <c r="BL805" s="26">
        <f t="shared" si="85"/>
        <v>0</v>
      </c>
      <c r="BM805" s="26">
        <f t="shared" si="91"/>
        <v>0</v>
      </c>
      <c r="BN805">
        <f t="shared" si="86"/>
        <v>66.916666666667226</v>
      </c>
      <c r="BO805">
        <f t="shared" si="87"/>
        <v>66.916666666667226</v>
      </c>
    </row>
    <row r="806" spans="61:67" x14ac:dyDescent="0.25">
      <c r="BI806" s="2">
        <f t="shared" si="88"/>
        <v>67.000000000000554</v>
      </c>
      <c r="BJ806" s="1">
        <f t="shared" si="89"/>
        <v>-537961.40240646072</v>
      </c>
      <c r="BK806" s="1">
        <f t="shared" si="90"/>
        <v>-580084.94640215056</v>
      </c>
      <c r="BL806" s="26">
        <f t="shared" si="85"/>
        <v>0</v>
      </c>
      <c r="BM806" s="26">
        <f t="shared" si="91"/>
        <v>0</v>
      </c>
      <c r="BN806">
        <f t="shared" si="86"/>
        <v>67.000000000000554</v>
      </c>
      <c r="BO806">
        <f t="shared" si="87"/>
        <v>67.000000000000554</v>
      </c>
    </row>
    <row r="807" spans="61:67" x14ac:dyDescent="0.25">
      <c r="BI807" s="2">
        <f t="shared" si="88"/>
        <v>67.083333333333883</v>
      </c>
      <c r="BJ807" s="1">
        <f t="shared" si="89"/>
        <v>-540203.55108777771</v>
      </c>
      <c r="BK807" s="1">
        <f t="shared" si="90"/>
        <v>-582437.66938645625</v>
      </c>
      <c r="BL807" s="26">
        <f t="shared" si="85"/>
        <v>0</v>
      </c>
      <c r="BM807" s="26">
        <f t="shared" si="91"/>
        <v>0</v>
      </c>
      <c r="BN807">
        <f t="shared" si="86"/>
        <v>67.083333333333883</v>
      </c>
      <c r="BO807">
        <f t="shared" si="87"/>
        <v>67.083333333333883</v>
      </c>
    </row>
    <row r="808" spans="61:67" x14ac:dyDescent="0.25">
      <c r="BI808" s="2">
        <f t="shared" si="88"/>
        <v>67.166666666667211</v>
      </c>
      <c r="BJ808" s="1">
        <f t="shared" si="89"/>
        <v>-542451.58540938317</v>
      </c>
      <c r="BK808" s="1">
        <f t="shared" si="90"/>
        <v>-584796.56826859573</v>
      </c>
      <c r="BL808" s="26">
        <f t="shared" si="85"/>
        <v>0</v>
      </c>
      <c r="BM808" s="26">
        <f t="shared" si="91"/>
        <v>0</v>
      </c>
      <c r="BN808">
        <f t="shared" si="86"/>
        <v>67.166666666667211</v>
      </c>
      <c r="BO808">
        <f t="shared" si="87"/>
        <v>67.166666666667211</v>
      </c>
    </row>
    <row r="809" spans="61:67" x14ac:dyDescent="0.25">
      <c r="BI809" s="2">
        <f t="shared" si="88"/>
        <v>67.25000000000054</v>
      </c>
      <c r="BJ809" s="1">
        <f t="shared" si="89"/>
        <v>-544705.52082108287</v>
      </c>
      <c r="BK809" s="1">
        <f t="shared" si="90"/>
        <v>-587161.6592603008</v>
      </c>
      <c r="BL809" s="26">
        <f t="shared" si="85"/>
        <v>0</v>
      </c>
      <c r="BM809" s="26">
        <f t="shared" si="91"/>
        <v>0</v>
      </c>
      <c r="BN809">
        <f t="shared" si="86"/>
        <v>67.25000000000054</v>
      </c>
      <c r="BO809">
        <f t="shared" si="87"/>
        <v>67.25000000000054</v>
      </c>
    </row>
    <row r="810" spans="61:67" x14ac:dyDescent="0.25">
      <c r="BI810" s="2">
        <f t="shared" si="88"/>
        <v>67.333333333333869</v>
      </c>
      <c r="BJ810" s="1">
        <f t="shared" si="89"/>
        <v>-546965.3728132383</v>
      </c>
      <c r="BK810" s="1">
        <f t="shared" si="90"/>
        <v>-589532.95861585916</v>
      </c>
      <c r="BL810" s="26">
        <f t="shared" si="85"/>
        <v>0</v>
      </c>
      <c r="BM810" s="26">
        <f t="shared" si="91"/>
        <v>0</v>
      </c>
      <c r="BN810">
        <f t="shared" si="86"/>
        <v>67.333333333333869</v>
      </c>
      <c r="BO810">
        <f t="shared" si="87"/>
        <v>67.333333333333869</v>
      </c>
    </row>
    <row r="811" spans="61:67" x14ac:dyDescent="0.25">
      <c r="BI811" s="2">
        <f t="shared" si="88"/>
        <v>67.416666666667197</v>
      </c>
      <c r="BJ811" s="1">
        <f t="shared" si="89"/>
        <v>-549231.15691687306</v>
      </c>
      <c r="BK811" s="1">
        <f t="shared" si="90"/>
        <v>-591910.48263222585</v>
      </c>
      <c r="BL811" s="26">
        <f t="shared" si="85"/>
        <v>0</v>
      </c>
      <c r="BM811" s="26">
        <f t="shared" si="91"/>
        <v>0</v>
      </c>
      <c r="BN811">
        <f t="shared" si="86"/>
        <v>67.416666666667197</v>
      </c>
      <c r="BO811">
        <f t="shared" si="87"/>
        <v>67.416666666667197</v>
      </c>
    </row>
    <row r="812" spans="61:67" x14ac:dyDescent="0.25">
      <c r="BI812" s="2">
        <f t="shared" si="88"/>
        <v>67.500000000000526</v>
      </c>
      <c r="BJ812" s="1">
        <f t="shared" si="89"/>
        <v>-551502.8887037799</v>
      </c>
      <c r="BK812" s="1">
        <f t="shared" si="90"/>
        <v>-594294.24764913553</v>
      </c>
      <c r="BL812" s="26">
        <f t="shared" si="85"/>
        <v>0</v>
      </c>
      <c r="BM812" s="26">
        <f t="shared" si="91"/>
        <v>0</v>
      </c>
      <c r="BN812">
        <f t="shared" si="86"/>
        <v>67.500000000000526</v>
      </c>
      <c r="BO812">
        <f t="shared" si="87"/>
        <v>67.500000000000526</v>
      </c>
    </row>
    <row r="813" spans="61:67" x14ac:dyDescent="0.25">
      <c r="BI813" s="2">
        <f t="shared" si="88"/>
        <v>67.583333333333854</v>
      </c>
      <c r="BJ813" s="1">
        <f t="shared" si="89"/>
        <v>-553780.58378662739</v>
      </c>
      <c r="BK813" s="1">
        <f t="shared" si="90"/>
        <v>-596684.2700492146</v>
      </c>
      <c r="BL813" s="26">
        <f t="shared" si="85"/>
        <v>0</v>
      </c>
      <c r="BM813" s="26">
        <f t="shared" si="91"/>
        <v>0</v>
      </c>
      <c r="BN813">
        <f t="shared" si="86"/>
        <v>67.583333333333854</v>
      </c>
      <c r="BO813">
        <f t="shared" si="87"/>
        <v>67.583333333333854</v>
      </c>
    </row>
    <row r="814" spans="61:67" x14ac:dyDescent="0.25">
      <c r="BI814" s="2">
        <f t="shared" si="88"/>
        <v>67.666666666667183</v>
      </c>
      <c r="BJ814" s="1">
        <f t="shared" si="89"/>
        <v>-556064.25781906734</v>
      </c>
      <c r="BK814" s="1">
        <f t="shared" si="90"/>
        <v>-599080.56625809381</v>
      </c>
      <c r="BL814" s="26">
        <f t="shared" si="85"/>
        <v>0</v>
      </c>
      <c r="BM814" s="26">
        <f t="shared" si="91"/>
        <v>0</v>
      </c>
      <c r="BN814">
        <f t="shared" si="86"/>
        <v>67.666666666667183</v>
      </c>
      <c r="BO814">
        <f t="shared" si="87"/>
        <v>67.666666666667183</v>
      </c>
    </row>
    <row r="815" spans="61:67" x14ac:dyDescent="0.25">
      <c r="BI815" s="2">
        <f t="shared" si="88"/>
        <v>67.750000000000512</v>
      </c>
      <c r="BJ815" s="1">
        <f t="shared" si="89"/>
        <v>-558353.9264958424</v>
      </c>
      <c r="BK815" s="1">
        <f t="shared" si="90"/>
        <v>-601483.15274452139</v>
      </c>
      <c r="BL815" s="26">
        <f t="shared" si="85"/>
        <v>0</v>
      </c>
      <c r="BM815" s="26">
        <f t="shared" si="91"/>
        <v>0</v>
      </c>
      <c r="BN815">
        <f t="shared" si="86"/>
        <v>67.750000000000512</v>
      </c>
      <c r="BO815">
        <f t="shared" si="87"/>
        <v>67.750000000000512</v>
      </c>
    </row>
    <row r="816" spans="61:67" x14ac:dyDescent="0.25">
      <c r="BI816" s="2">
        <f t="shared" si="88"/>
        <v>67.83333333333384</v>
      </c>
      <c r="BJ816" s="1">
        <f t="shared" si="89"/>
        <v>-560649.60555289406</v>
      </c>
      <c r="BK816" s="1">
        <f t="shared" si="90"/>
        <v>-603892.0460204758</v>
      </c>
      <c r="BL816" s="26">
        <f t="shared" si="85"/>
        <v>0</v>
      </c>
      <c r="BM816" s="26">
        <f t="shared" si="91"/>
        <v>0</v>
      </c>
      <c r="BN816">
        <f t="shared" si="86"/>
        <v>67.83333333333384</v>
      </c>
      <c r="BO816">
        <f t="shared" si="87"/>
        <v>67.83333333333384</v>
      </c>
    </row>
    <row r="817" spans="61:67" x14ac:dyDescent="0.25">
      <c r="BI817" s="2">
        <f t="shared" si="88"/>
        <v>67.916666666667169</v>
      </c>
      <c r="BJ817" s="1">
        <f t="shared" si="89"/>
        <v>-562951.31076747051</v>
      </c>
      <c r="BK817" s="1">
        <f t="shared" si="90"/>
        <v>-606307.26264127961</v>
      </c>
      <c r="BL817" s="26">
        <f t="shared" si="85"/>
        <v>0</v>
      </c>
      <c r="BM817" s="26">
        <f t="shared" si="91"/>
        <v>0</v>
      </c>
      <c r="BN817">
        <f t="shared" si="86"/>
        <v>67.916666666667169</v>
      </c>
      <c r="BO817">
        <f t="shared" si="87"/>
        <v>67.916666666667169</v>
      </c>
    </row>
    <row r="818" spans="61:67" x14ac:dyDescent="0.25">
      <c r="BI818" s="2">
        <f t="shared" si="88"/>
        <v>68.000000000000497</v>
      </c>
      <c r="BJ818" s="1">
        <f t="shared" si="89"/>
        <v>-565259.05795823515</v>
      </c>
      <c r="BK818" s="1">
        <f t="shared" si="90"/>
        <v>-608728.81920571299</v>
      </c>
      <c r="BL818" s="26">
        <f t="shared" si="85"/>
        <v>0</v>
      </c>
      <c r="BM818" s="26">
        <f t="shared" si="91"/>
        <v>0</v>
      </c>
      <c r="BN818">
        <f t="shared" si="86"/>
        <v>68.000000000000497</v>
      </c>
      <c r="BO818">
        <f t="shared" si="87"/>
        <v>68.000000000000497</v>
      </c>
    </row>
    <row r="819" spans="61:67" x14ac:dyDescent="0.25">
      <c r="BI819" s="2">
        <f t="shared" si="88"/>
        <v>68.083333333333826</v>
      </c>
      <c r="BJ819" s="1">
        <f t="shared" si="89"/>
        <v>-567572.86298537557</v>
      </c>
      <c r="BK819" s="1">
        <f t="shared" si="90"/>
        <v>-611156.73235612805</v>
      </c>
      <c r="BL819" s="26">
        <f t="shared" si="85"/>
        <v>0</v>
      </c>
      <c r="BM819" s="26">
        <f t="shared" si="91"/>
        <v>0</v>
      </c>
      <c r="BN819">
        <f t="shared" si="86"/>
        <v>68.083333333333826</v>
      </c>
      <c r="BO819">
        <f t="shared" si="87"/>
        <v>68.083333333333826</v>
      </c>
    </row>
    <row r="820" spans="61:67" x14ac:dyDescent="0.25">
      <c r="BI820" s="2">
        <f t="shared" si="88"/>
        <v>68.166666666667155</v>
      </c>
      <c r="BJ820" s="1">
        <f t="shared" si="89"/>
        <v>-569892.74175071227</v>
      </c>
      <c r="BK820" s="1">
        <f t="shared" si="90"/>
        <v>-613591.0187785629</v>
      </c>
      <c r="BL820" s="26">
        <f t="shared" si="85"/>
        <v>0</v>
      </c>
      <c r="BM820" s="26">
        <f t="shared" si="91"/>
        <v>0</v>
      </c>
      <c r="BN820">
        <f t="shared" si="86"/>
        <v>68.166666666667155</v>
      </c>
      <c r="BO820">
        <f t="shared" si="87"/>
        <v>68.166666666667155</v>
      </c>
    </row>
    <row r="821" spans="61:67" x14ac:dyDescent="0.25">
      <c r="BI821" s="2">
        <f t="shared" si="88"/>
        <v>68.250000000000483</v>
      </c>
      <c r="BJ821" s="1">
        <f t="shared" si="89"/>
        <v>-572218.71019780799</v>
      </c>
      <c r="BK821" s="1">
        <f t="shared" si="90"/>
        <v>-616031.69520285667</v>
      </c>
      <c r="BL821" s="26">
        <f t="shared" si="85"/>
        <v>0</v>
      </c>
      <c r="BM821" s="26">
        <f t="shared" si="91"/>
        <v>0</v>
      </c>
      <c r="BN821">
        <f t="shared" si="86"/>
        <v>68.250000000000483</v>
      </c>
      <c r="BO821">
        <f t="shared" si="87"/>
        <v>68.250000000000483</v>
      </c>
    </row>
    <row r="822" spans="61:67" x14ac:dyDescent="0.25">
      <c r="BI822" s="2">
        <f t="shared" si="88"/>
        <v>68.333333333333812</v>
      </c>
      <c r="BJ822" s="1">
        <f t="shared" si="89"/>
        <v>-574550.78431207733</v>
      </c>
      <c r="BK822" s="1">
        <f t="shared" si="90"/>
        <v>-618478.77840276423</v>
      </c>
      <c r="BL822" s="26">
        <f t="shared" si="85"/>
        <v>0</v>
      </c>
      <c r="BM822" s="26">
        <f t="shared" si="91"/>
        <v>0</v>
      </c>
      <c r="BN822">
        <f t="shared" si="86"/>
        <v>68.333333333333812</v>
      </c>
      <c r="BO822">
        <f t="shared" si="87"/>
        <v>68.333333333333812</v>
      </c>
    </row>
    <row r="823" spans="61:67" x14ac:dyDescent="0.25">
      <c r="BI823" s="2">
        <f t="shared" si="88"/>
        <v>68.41666666666714</v>
      </c>
      <c r="BJ823" s="1">
        <f t="shared" si="89"/>
        <v>-576888.98012089659</v>
      </c>
      <c r="BK823" s="1">
        <f t="shared" si="90"/>
        <v>-620932.28519607161</v>
      </c>
      <c r="BL823" s="26">
        <f t="shared" si="85"/>
        <v>0</v>
      </c>
      <c r="BM823" s="26">
        <f t="shared" si="91"/>
        <v>0</v>
      </c>
      <c r="BN823">
        <f t="shared" si="86"/>
        <v>68.41666666666714</v>
      </c>
      <c r="BO823">
        <f t="shared" si="87"/>
        <v>68.41666666666714</v>
      </c>
    </row>
    <row r="824" spans="61:67" x14ac:dyDescent="0.25">
      <c r="BI824" s="2">
        <f t="shared" si="88"/>
        <v>68.500000000000469</v>
      </c>
      <c r="BJ824" s="1">
        <f t="shared" si="89"/>
        <v>-579233.31369371398</v>
      </c>
      <c r="BK824" s="1">
        <f t="shared" si="90"/>
        <v>-623392.23244471138</v>
      </c>
      <c r="BL824" s="26">
        <f t="shared" si="85"/>
        <v>0</v>
      </c>
      <c r="BM824" s="26">
        <f t="shared" si="91"/>
        <v>0</v>
      </c>
      <c r="BN824">
        <f t="shared" si="86"/>
        <v>68.500000000000469</v>
      </c>
      <c r="BO824">
        <f t="shared" si="87"/>
        <v>68.500000000000469</v>
      </c>
    </row>
    <row r="825" spans="61:67" x14ac:dyDescent="0.25">
      <c r="BI825" s="2">
        <f t="shared" si="88"/>
        <v>68.583333333333798</v>
      </c>
      <c r="BJ825" s="1">
        <f t="shared" si="89"/>
        <v>-581583.80114216008</v>
      </c>
      <c r="BK825" s="1">
        <f t="shared" si="90"/>
        <v>-625858.63705487875</v>
      </c>
      <c r="BL825" s="26">
        <f t="shared" si="85"/>
        <v>0</v>
      </c>
      <c r="BM825" s="26">
        <f t="shared" si="91"/>
        <v>0</v>
      </c>
      <c r="BN825">
        <f t="shared" si="86"/>
        <v>68.583333333333798</v>
      </c>
      <c r="BO825">
        <f t="shared" si="87"/>
        <v>68.583333333333798</v>
      </c>
    </row>
    <row r="826" spans="61:67" x14ac:dyDescent="0.25">
      <c r="BI826" s="2">
        <f t="shared" si="88"/>
        <v>68.666666666667126</v>
      </c>
      <c r="BJ826" s="1">
        <f t="shared" si="89"/>
        <v>-583940.45862015826</v>
      </c>
      <c r="BK826" s="1">
        <f t="shared" si="90"/>
        <v>-628331.51597714785</v>
      </c>
      <c r="BL826" s="26">
        <f t="shared" si="85"/>
        <v>0</v>
      </c>
      <c r="BM826" s="26">
        <f t="shared" si="91"/>
        <v>0</v>
      </c>
      <c r="BN826">
        <f t="shared" si="86"/>
        <v>68.666666666667126</v>
      </c>
      <c r="BO826">
        <f t="shared" si="87"/>
        <v>68.666666666667126</v>
      </c>
    </row>
    <row r="827" spans="61:67" x14ac:dyDescent="0.25">
      <c r="BI827" s="2">
        <f t="shared" si="88"/>
        <v>68.750000000000455</v>
      </c>
      <c r="BJ827" s="1">
        <f t="shared" si="89"/>
        <v>-586303.30232403625</v>
      </c>
      <c r="BK827" s="1">
        <f t="shared" si="90"/>
        <v>-630810.88620658789</v>
      </c>
      <c r="BL827" s="26">
        <f t="shared" si="85"/>
        <v>0</v>
      </c>
      <c r="BM827" s="26">
        <f t="shared" si="91"/>
        <v>0</v>
      </c>
      <c r="BN827">
        <f t="shared" si="86"/>
        <v>68.750000000000455</v>
      </c>
      <c r="BO827">
        <f t="shared" si="87"/>
        <v>68.750000000000455</v>
      </c>
    </row>
    <row r="828" spans="61:67" x14ac:dyDescent="0.25">
      <c r="BI828" s="2">
        <f t="shared" si="88"/>
        <v>68.833333333333783</v>
      </c>
      <c r="BJ828" s="1">
        <f t="shared" si="89"/>
        <v>-588672.34849263693</v>
      </c>
      <c r="BK828" s="1">
        <f t="shared" si="90"/>
        <v>-633296.7647828802</v>
      </c>
      <c r="BL828" s="26">
        <f t="shared" si="85"/>
        <v>0</v>
      </c>
      <c r="BM828" s="26">
        <f t="shared" si="91"/>
        <v>0</v>
      </c>
      <c r="BN828">
        <f t="shared" si="86"/>
        <v>68.833333333333783</v>
      </c>
      <c r="BO828">
        <f t="shared" si="87"/>
        <v>68.833333333333783</v>
      </c>
    </row>
    <row r="829" spans="61:67" x14ac:dyDescent="0.25">
      <c r="BI829" s="2">
        <f t="shared" si="88"/>
        <v>68.916666666667112</v>
      </c>
      <c r="BJ829" s="1">
        <f t="shared" si="89"/>
        <v>-591047.61340743012</v>
      </c>
      <c r="BK829" s="1">
        <f t="shared" si="90"/>
        <v>-635789.1687904353</v>
      </c>
      <c r="BL829" s="26">
        <f t="shared" si="85"/>
        <v>0</v>
      </c>
      <c r="BM829" s="26">
        <f t="shared" si="91"/>
        <v>0</v>
      </c>
      <c r="BN829">
        <f t="shared" si="86"/>
        <v>68.916666666667112</v>
      </c>
      <c r="BO829">
        <f t="shared" si="87"/>
        <v>68.916666666667112</v>
      </c>
    </row>
    <row r="830" spans="61:67" x14ac:dyDescent="0.25">
      <c r="BI830" s="2">
        <f t="shared" si="88"/>
        <v>69.000000000000441</v>
      </c>
      <c r="BJ830" s="1">
        <f t="shared" si="89"/>
        <v>-593429.11339262465</v>
      </c>
      <c r="BK830" s="1">
        <f t="shared" si="90"/>
        <v>-638288.11535851029</v>
      </c>
      <c r="BL830" s="26">
        <f t="shared" si="85"/>
        <v>0</v>
      </c>
      <c r="BM830" s="26">
        <f t="shared" si="91"/>
        <v>0</v>
      </c>
      <c r="BN830">
        <f t="shared" si="86"/>
        <v>69.000000000000441</v>
      </c>
      <c r="BO830">
        <f t="shared" si="87"/>
        <v>69.000000000000441</v>
      </c>
    </row>
    <row r="831" spans="61:67" x14ac:dyDescent="0.25">
      <c r="BI831" s="2">
        <f t="shared" si="88"/>
        <v>69.083333333333769</v>
      </c>
      <c r="BJ831" s="1">
        <f t="shared" si="89"/>
        <v>-595816.86481528031</v>
      </c>
      <c r="BK831" s="1">
        <f t="shared" si="90"/>
        <v>-640793.62166132638</v>
      </c>
      <c r="BL831" s="26">
        <f t="shared" si="85"/>
        <v>0</v>
      </c>
      <c r="BM831" s="26">
        <f t="shared" si="91"/>
        <v>0</v>
      </c>
      <c r="BN831">
        <f t="shared" si="86"/>
        <v>69.083333333333769</v>
      </c>
      <c r="BO831">
        <f t="shared" si="87"/>
        <v>69.083333333333769</v>
      </c>
    </row>
    <row r="832" spans="61:67" x14ac:dyDescent="0.25">
      <c r="BI832" s="2">
        <f t="shared" si="88"/>
        <v>69.166666666667098</v>
      </c>
      <c r="BJ832" s="1">
        <f t="shared" si="89"/>
        <v>-598210.88408542052</v>
      </c>
      <c r="BK832" s="1">
        <f t="shared" si="90"/>
        <v>-643305.70491818746</v>
      </c>
      <c r="BL832" s="26">
        <f t="shared" si="85"/>
        <v>0</v>
      </c>
      <c r="BM832" s="26">
        <f t="shared" si="91"/>
        <v>0</v>
      </c>
      <c r="BN832">
        <f t="shared" si="86"/>
        <v>69.166666666667098</v>
      </c>
      <c r="BO832">
        <f t="shared" si="87"/>
        <v>69.166666666667098</v>
      </c>
    </row>
    <row r="833" spans="61:67" x14ac:dyDescent="0.25">
      <c r="BI833" s="2">
        <f t="shared" si="88"/>
        <v>69.250000000000426</v>
      </c>
      <c r="BJ833" s="1">
        <f t="shared" si="89"/>
        <v>-600611.18765614484</v>
      </c>
      <c r="BK833" s="1">
        <f t="shared" si="90"/>
        <v>-645824.38239359774</v>
      </c>
      <c r="BL833" s="26">
        <f t="shared" si="85"/>
        <v>0</v>
      </c>
      <c r="BM833" s="26">
        <f t="shared" si="91"/>
        <v>0</v>
      </c>
      <c r="BN833">
        <f t="shared" si="86"/>
        <v>69.250000000000426</v>
      </c>
      <c r="BO833">
        <f t="shared" si="87"/>
        <v>69.250000000000426</v>
      </c>
    </row>
    <row r="834" spans="61:67" x14ac:dyDescent="0.25">
      <c r="BI834" s="2">
        <f t="shared" si="88"/>
        <v>69.333333333333755</v>
      </c>
      <c r="BJ834" s="1">
        <f t="shared" si="89"/>
        <v>-603017.79202374234</v>
      </c>
      <c r="BK834" s="1">
        <f t="shared" si="90"/>
        <v>-648349.671397381</v>
      </c>
      <c r="BL834" s="26">
        <f t="shared" ref="BL834:BL897" si="92">IF(BI834&gt;$G$12,0,1)</f>
        <v>0</v>
      </c>
      <c r="BM834" s="26">
        <f t="shared" si="91"/>
        <v>0</v>
      </c>
      <c r="BN834">
        <f t="shared" ref="BN834:BN897" si="93">IF(BK834&lt;0,BI834,999)</f>
        <v>69.333333333333755</v>
      </c>
      <c r="BO834">
        <f t="shared" ref="BO834:BO897" si="94">IF(BJ834&lt;0,BI834,999)</f>
        <v>69.333333333333755</v>
      </c>
    </row>
    <row r="835" spans="61:67" x14ac:dyDescent="0.25">
      <c r="BI835" s="2">
        <f t="shared" ref="BI835:BI898" si="95">BI834+1/12</f>
        <v>69.416666666667084</v>
      </c>
      <c r="BJ835" s="1">
        <f t="shared" ref="BJ835:BJ898" si="96">BJ834*(1+$C$4/12) - $C$3</f>
        <v>-605430.71372780472</v>
      </c>
      <c r="BK835" s="1">
        <f t="shared" si="90"/>
        <v>-650881.58928479918</v>
      </c>
      <c r="BL835" s="26">
        <f t="shared" si="92"/>
        <v>0</v>
      </c>
      <c r="BM835" s="26">
        <f t="shared" si="91"/>
        <v>0</v>
      </c>
      <c r="BN835">
        <f t="shared" si="93"/>
        <v>69.416666666667084</v>
      </c>
      <c r="BO835">
        <f t="shared" si="94"/>
        <v>69.416666666667084</v>
      </c>
    </row>
    <row r="836" spans="61:67" x14ac:dyDescent="0.25">
      <c r="BI836" s="2">
        <f t="shared" si="95"/>
        <v>69.500000000000412</v>
      </c>
      <c r="BJ836" s="1">
        <f t="shared" si="96"/>
        <v>-607849.96935134032</v>
      </c>
      <c r="BK836" s="1">
        <f t="shared" ref="BK836:BK899" si="97">BK835*(1+$D$4/12)-$C$3-($D$3-$C$3)*BL836</f>
        <v>-653420.15345667186</v>
      </c>
      <c r="BL836" s="26">
        <f t="shared" si="92"/>
        <v>0</v>
      </c>
      <c r="BM836" s="26">
        <f t="shared" si="91"/>
        <v>0</v>
      </c>
      <c r="BN836">
        <f t="shared" si="93"/>
        <v>69.500000000000412</v>
      </c>
      <c r="BO836">
        <f t="shared" si="94"/>
        <v>69.500000000000412</v>
      </c>
    </row>
    <row r="837" spans="61:67" x14ac:dyDescent="0.25">
      <c r="BI837" s="2">
        <f t="shared" si="95"/>
        <v>69.583333333333741</v>
      </c>
      <c r="BJ837" s="1">
        <f t="shared" si="96"/>
        <v>-610275.57552088762</v>
      </c>
      <c r="BK837" s="1">
        <f t="shared" si="97"/>
        <v>-655965.38135949569</v>
      </c>
      <c r="BL837" s="26">
        <f t="shared" si="92"/>
        <v>0</v>
      </c>
      <c r="BM837" s="26">
        <f t="shared" si="91"/>
        <v>0</v>
      </c>
      <c r="BN837">
        <f t="shared" si="93"/>
        <v>69.583333333333741</v>
      </c>
      <c r="BO837">
        <f t="shared" si="94"/>
        <v>69.583333333333741</v>
      </c>
    </row>
    <row r="838" spans="61:67" x14ac:dyDescent="0.25">
      <c r="BI838" s="2">
        <f t="shared" si="95"/>
        <v>69.666666666667069</v>
      </c>
      <c r="BJ838" s="1">
        <f t="shared" si="96"/>
        <v>-612707.54890663002</v>
      </c>
      <c r="BK838" s="1">
        <f t="shared" si="97"/>
        <v>-658517.29048556439</v>
      </c>
      <c r="BL838" s="26">
        <f t="shared" si="92"/>
        <v>0</v>
      </c>
      <c r="BM838" s="26">
        <f t="shared" si="91"/>
        <v>0</v>
      </c>
      <c r="BN838">
        <f t="shared" si="93"/>
        <v>69.666666666667069</v>
      </c>
      <c r="BO838">
        <f t="shared" si="94"/>
        <v>69.666666666667069</v>
      </c>
    </row>
    <row r="839" spans="61:67" x14ac:dyDescent="0.25">
      <c r="BI839" s="2">
        <f t="shared" si="95"/>
        <v>69.750000000000398</v>
      </c>
      <c r="BJ839" s="1">
        <f t="shared" si="96"/>
        <v>-615145.90622251004</v>
      </c>
      <c r="BK839" s="1">
        <f t="shared" si="97"/>
        <v>-661075.89837308903</v>
      </c>
      <c r="BL839" s="26">
        <f t="shared" si="92"/>
        <v>0</v>
      </c>
      <c r="BM839" s="26">
        <f t="shared" si="91"/>
        <v>0</v>
      </c>
      <c r="BN839">
        <f t="shared" si="93"/>
        <v>69.750000000000398</v>
      </c>
      <c r="BO839">
        <f t="shared" si="94"/>
        <v>69.750000000000398</v>
      </c>
    </row>
    <row r="840" spans="61:67" x14ac:dyDescent="0.25">
      <c r="BI840" s="2">
        <f t="shared" si="95"/>
        <v>69.833333333333727</v>
      </c>
      <c r="BJ840" s="1">
        <f t="shared" si="96"/>
        <v>-617590.6642263442</v>
      </c>
      <c r="BK840" s="1">
        <f t="shared" si="97"/>
        <v>-663641.22260631842</v>
      </c>
      <c r="BL840" s="26">
        <f t="shared" si="92"/>
        <v>0</v>
      </c>
      <c r="BM840" s="26">
        <f t="shared" si="91"/>
        <v>0</v>
      </c>
      <c r="BN840">
        <f t="shared" si="93"/>
        <v>69.833333333333727</v>
      </c>
      <c r="BO840">
        <f t="shared" si="94"/>
        <v>69.833333333333727</v>
      </c>
    </row>
    <row r="841" spans="61:67" x14ac:dyDescent="0.25">
      <c r="BI841" s="2">
        <f t="shared" si="95"/>
        <v>69.916666666667055</v>
      </c>
      <c r="BJ841" s="1">
        <f t="shared" si="96"/>
        <v>-620041.83971993846</v>
      </c>
      <c r="BK841" s="1">
        <f t="shared" si="97"/>
        <v>-666213.28081566002</v>
      </c>
      <c r="BL841" s="26">
        <f t="shared" si="92"/>
        <v>0</v>
      </c>
      <c r="BM841" s="26">
        <f t="shared" si="91"/>
        <v>0</v>
      </c>
      <c r="BN841">
        <f t="shared" si="93"/>
        <v>69.916666666667055</v>
      </c>
      <c r="BO841">
        <f t="shared" si="94"/>
        <v>69.916666666667055</v>
      </c>
    </row>
    <row r="842" spans="61:67" x14ac:dyDescent="0.25">
      <c r="BI842" s="2">
        <f t="shared" si="95"/>
        <v>70.000000000000384</v>
      </c>
      <c r="BJ842" s="1">
        <f t="shared" si="96"/>
        <v>-622499.44954920339</v>
      </c>
      <c r="BK842" s="1">
        <f t="shared" si="97"/>
        <v>-668792.09067780117</v>
      </c>
      <c r="BL842" s="26">
        <f t="shared" si="92"/>
        <v>0</v>
      </c>
      <c r="BM842" s="26">
        <f t="shared" si="91"/>
        <v>0</v>
      </c>
      <c r="BN842">
        <f t="shared" si="93"/>
        <v>70.000000000000384</v>
      </c>
      <c r="BO842">
        <f t="shared" si="94"/>
        <v>70.000000000000384</v>
      </c>
    </row>
    <row r="843" spans="61:67" x14ac:dyDescent="0.25">
      <c r="BI843" s="2">
        <f t="shared" si="95"/>
        <v>70.083333333333712</v>
      </c>
      <c r="BJ843" s="1">
        <f t="shared" si="96"/>
        <v>-624963.51060427015</v>
      </c>
      <c r="BK843" s="1">
        <f t="shared" si="97"/>
        <v>-671377.66991583048</v>
      </c>
      <c r="BL843" s="26">
        <f t="shared" si="92"/>
        <v>0</v>
      </c>
      <c r="BM843" s="26">
        <f t="shared" si="91"/>
        <v>0</v>
      </c>
      <c r="BN843">
        <f t="shared" si="93"/>
        <v>70.083333333333712</v>
      </c>
      <c r="BO843">
        <f t="shared" si="94"/>
        <v>70.083333333333712</v>
      </c>
    </row>
    <row r="844" spans="61:67" x14ac:dyDescent="0.25">
      <c r="BI844" s="2">
        <f t="shared" si="95"/>
        <v>70.166666666667041</v>
      </c>
      <c r="BJ844" s="1">
        <f t="shared" si="96"/>
        <v>-627434.03981960646</v>
      </c>
      <c r="BK844" s="1">
        <f t="shared" si="97"/>
        <v>-673970.03629935964</v>
      </c>
      <c r="BL844" s="26">
        <f t="shared" si="92"/>
        <v>0</v>
      </c>
      <c r="BM844" s="26">
        <f t="shared" si="91"/>
        <v>0</v>
      </c>
      <c r="BN844">
        <f t="shared" si="93"/>
        <v>70.166666666667041</v>
      </c>
      <c r="BO844">
        <f t="shared" si="94"/>
        <v>70.166666666667041</v>
      </c>
    </row>
    <row r="845" spans="61:67" x14ac:dyDescent="0.25">
      <c r="BI845" s="2">
        <f t="shared" si="95"/>
        <v>70.250000000000369</v>
      </c>
      <c r="BJ845" s="1">
        <f t="shared" si="96"/>
        <v>-629911.05417413299</v>
      </c>
      <c r="BK845" s="1">
        <f t="shared" si="97"/>
        <v>-676569.20764464547</v>
      </c>
      <c r="BL845" s="26">
        <f t="shared" si="92"/>
        <v>0</v>
      </c>
      <c r="BM845" s="26">
        <f t="shared" si="91"/>
        <v>0</v>
      </c>
      <c r="BN845">
        <f t="shared" si="93"/>
        <v>70.250000000000369</v>
      </c>
      <c r="BO845">
        <f t="shared" si="94"/>
        <v>70.250000000000369</v>
      </c>
    </row>
    <row r="846" spans="61:67" x14ac:dyDescent="0.25">
      <c r="BI846" s="2">
        <f t="shared" si="95"/>
        <v>70.333333333333698</v>
      </c>
      <c r="BJ846" s="1">
        <f t="shared" si="96"/>
        <v>-632394.57069134014</v>
      </c>
      <c r="BK846" s="1">
        <f t="shared" si="97"/>
        <v>-679175.20181471272</v>
      </c>
      <c r="BL846" s="26">
        <f t="shared" si="92"/>
        <v>0</v>
      </c>
      <c r="BM846" s="26">
        <f t="shared" si="91"/>
        <v>0</v>
      </c>
      <c r="BN846">
        <f t="shared" si="93"/>
        <v>70.333333333333698</v>
      </c>
      <c r="BO846">
        <f t="shared" si="94"/>
        <v>70.333333333333698</v>
      </c>
    </row>
    <row r="847" spans="61:67" x14ac:dyDescent="0.25">
      <c r="BI847" s="2">
        <f t="shared" si="95"/>
        <v>70.416666666667027</v>
      </c>
      <c r="BJ847" s="1">
        <f t="shared" si="96"/>
        <v>-634884.606439405</v>
      </c>
      <c r="BK847" s="1">
        <f t="shared" si="97"/>
        <v>-681788.03671947645</v>
      </c>
      <c r="BL847" s="26">
        <f t="shared" si="92"/>
        <v>0</v>
      </c>
      <c r="BM847" s="26">
        <f t="shared" si="91"/>
        <v>0</v>
      </c>
      <c r="BN847">
        <f t="shared" si="93"/>
        <v>70.416666666667027</v>
      </c>
      <c r="BO847">
        <f t="shared" si="94"/>
        <v>70.416666666667027</v>
      </c>
    </row>
    <row r="848" spans="61:67" x14ac:dyDescent="0.25">
      <c r="BI848" s="2">
        <f t="shared" si="95"/>
        <v>70.500000000000355</v>
      </c>
      <c r="BJ848" s="1">
        <f t="shared" si="96"/>
        <v>-637381.17853130854</v>
      </c>
      <c r="BK848" s="1">
        <f t="shared" si="97"/>
        <v>-684407.73031586513</v>
      </c>
      <c r="BL848" s="26">
        <f t="shared" si="92"/>
        <v>0</v>
      </c>
      <c r="BM848" s="26">
        <f t="shared" si="91"/>
        <v>0</v>
      </c>
      <c r="BN848">
        <f t="shared" si="93"/>
        <v>70.500000000000355</v>
      </c>
      <c r="BO848">
        <f t="shared" si="94"/>
        <v>70.500000000000355</v>
      </c>
    </row>
    <row r="849" spans="61:67" x14ac:dyDescent="0.25">
      <c r="BI849" s="2">
        <f t="shared" si="95"/>
        <v>70.583333333333684</v>
      </c>
      <c r="BJ849" s="1">
        <f t="shared" si="96"/>
        <v>-639884.30412495334</v>
      </c>
      <c r="BK849" s="1">
        <f t="shared" si="97"/>
        <v>-687034.30060794437</v>
      </c>
      <c r="BL849" s="26">
        <f t="shared" si="92"/>
        <v>0</v>
      </c>
      <c r="BM849" s="26">
        <f t="shared" si="91"/>
        <v>0</v>
      </c>
      <c r="BN849">
        <f t="shared" si="93"/>
        <v>70.583333333333684</v>
      </c>
      <c r="BO849">
        <f t="shared" si="94"/>
        <v>70.583333333333684</v>
      </c>
    </row>
    <row r="850" spans="61:67" x14ac:dyDescent="0.25">
      <c r="BI850" s="2">
        <f t="shared" si="95"/>
        <v>70.666666666667012</v>
      </c>
      <c r="BJ850" s="1">
        <f t="shared" si="96"/>
        <v>-642394.00042328145</v>
      </c>
      <c r="BK850" s="1">
        <f t="shared" si="97"/>
        <v>-689667.76564704033</v>
      </c>
      <c r="BL850" s="26">
        <f t="shared" si="92"/>
        <v>0</v>
      </c>
      <c r="BM850" s="26">
        <f t="shared" si="91"/>
        <v>0</v>
      </c>
      <c r="BN850">
        <f t="shared" si="93"/>
        <v>70.666666666667012</v>
      </c>
      <c r="BO850">
        <f t="shared" si="94"/>
        <v>70.666666666667012</v>
      </c>
    </row>
    <row r="851" spans="61:67" x14ac:dyDescent="0.25">
      <c r="BI851" s="2">
        <f t="shared" si="95"/>
        <v>70.750000000000341</v>
      </c>
      <c r="BJ851" s="1">
        <f t="shared" si="96"/>
        <v>-644910.28467439266</v>
      </c>
      <c r="BK851" s="1">
        <f t="shared" si="97"/>
        <v>-692308.14353186393</v>
      </c>
      <c r="BL851" s="26">
        <f t="shared" si="92"/>
        <v>0</v>
      </c>
      <c r="BM851" s="26">
        <f t="shared" si="91"/>
        <v>0</v>
      </c>
      <c r="BN851">
        <f t="shared" si="93"/>
        <v>70.750000000000341</v>
      </c>
      <c r="BO851">
        <f t="shared" si="94"/>
        <v>70.750000000000341</v>
      </c>
    </row>
    <row r="852" spans="61:67" x14ac:dyDescent="0.25">
      <c r="BI852" s="2">
        <f t="shared" si="95"/>
        <v>70.83333333333367</v>
      </c>
      <c r="BJ852" s="1">
        <f t="shared" si="96"/>
        <v>-647433.17417166301</v>
      </c>
      <c r="BK852" s="1">
        <f t="shared" si="97"/>
        <v>-694955.45240863517</v>
      </c>
      <c r="BL852" s="26">
        <f t="shared" si="92"/>
        <v>0</v>
      </c>
      <c r="BM852" s="26">
        <f t="shared" si="91"/>
        <v>0</v>
      </c>
      <c r="BN852">
        <f t="shared" si="93"/>
        <v>70.83333333333367</v>
      </c>
      <c r="BO852">
        <f t="shared" si="94"/>
        <v>70.83333333333367</v>
      </c>
    </row>
    <row r="853" spans="61:67" x14ac:dyDescent="0.25">
      <c r="BI853" s="2">
        <f t="shared" si="95"/>
        <v>70.916666666666998</v>
      </c>
      <c r="BJ853" s="1">
        <f t="shared" si="96"/>
        <v>-649962.68625386374</v>
      </c>
      <c r="BK853" s="1">
        <f t="shared" si="97"/>
        <v>-697609.71047120786</v>
      </c>
      <c r="BL853" s="26">
        <f t="shared" si="92"/>
        <v>0</v>
      </c>
      <c r="BM853" s="26">
        <f t="shared" si="91"/>
        <v>0</v>
      </c>
      <c r="BN853">
        <f t="shared" si="93"/>
        <v>70.916666666666998</v>
      </c>
      <c r="BO853">
        <f t="shared" si="94"/>
        <v>70.916666666666998</v>
      </c>
    </row>
    <row r="854" spans="61:67" x14ac:dyDescent="0.25">
      <c r="BI854" s="2">
        <f t="shared" si="95"/>
        <v>71.000000000000327</v>
      </c>
      <c r="BJ854" s="1">
        <f t="shared" si="96"/>
        <v>-652498.83830528019</v>
      </c>
      <c r="BK854" s="1">
        <f t="shared" si="97"/>
        <v>-700270.9359611948</v>
      </c>
      <c r="BL854" s="26">
        <f t="shared" si="92"/>
        <v>0</v>
      </c>
      <c r="BM854" s="26">
        <f t="shared" si="91"/>
        <v>0</v>
      </c>
      <c r="BN854">
        <f t="shared" si="93"/>
        <v>71.000000000000327</v>
      </c>
      <c r="BO854">
        <f t="shared" si="94"/>
        <v>71.000000000000327</v>
      </c>
    </row>
    <row r="855" spans="61:67" x14ac:dyDescent="0.25">
      <c r="BI855" s="2">
        <f t="shared" si="95"/>
        <v>71.083333333333655</v>
      </c>
      <c r="BJ855" s="1">
        <f t="shared" si="96"/>
        <v>-655041.6477558316</v>
      </c>
      <c r="BK855" s="1">
        <f t="shared" si="97"/>
        <v>-702939.14716809301</v>
      </c>
      <c r="BL855" s="26">
        <f t="shared" si="92"/>
        <v>0</v>
      </c>
      <c r="BM855" s="26">
        <f t="shared" si="91"/>
        <v>0</v>
      </c>
      <c r="BN855">
        <f t="shared" si="93"/>
        <v>71.083333333333655</v>
      </c>
      <c r="BO855">
        <f t="shared" si="94"/>
        <v>71.083333333333655</v>
      </c>
    </row>
    <row r="856" spans="61:67" x14ac:dyDescent="0.25">
      <c r="BI856" s="2">
        <f t="shared" si="95"/>
        <v>71.166666666666984</v>
      </c>
      <c r="BJ856" s="1">
        <f t="shared" si="96"/>
        <v>-657591.13208119071</v>
      </c>
      <c r="BK856" s="1">
        <f t="shared" si="97"/>
        <v>-705614.36242940929</v>
      </c>
      <c r="BL856" s="26">
        <f t="shared" si="92"/>
        <v>0</v>
      </c>
      <c r="BM856" s="26">
        <f t="shared" si="91"/>
        <v>0</v>
      </c>
      <c r="BN856">
        <f t="shared" si="93"/>
        <v>71.166666666666984</v>
      </c>
      <c r="BO856">
        <f t="shared" si="94"/>
        <v>71.166666666666984</v>
      </c>
    </row>
    <row r="857" spans="61:67" x14ac:dyDescent="0.25">
      <c r="BI857" s="2">
        <f t="shared" si="95"/>
        <v>71.250000000000313</v>
      </c>
      <c r="BJ857" s="1">
        <f t="shared" si="96"/>
        <v>-660147.30880290386</v>
      </c>
      <c r="BK857" s="1">
        <f t="shared" si="97"/>
        <v>-708296.60013078654</v>
      </c>
      <c r="BL857" s="26">
        <f t="shared" si="92"/>
        <v>0</v>
      </c>
      <c r="BM857" s="26">
        <f t="shared" si="91"/>
        <v>0</v>
      </c>
      <c r="BN857">
        <f t="shared" si="93"/>
        <v>71.250000000000313</v>
      </c>
      <c r="BO857">
        <f t="shared" si="94"/>
        <v>71.250000000000313</v>
      </c>
    </row>
    <row r="858" spans="61:67" x14ac:dyDescent="0.25">
      <c r="BI858" s="2">
        <f t="shared" si="95"/>
        <v>71.333333333333641</v>
      </c>
      <c r="BJ858" s="1">
        <f t="shared" si="96"/>
        <v>-662710.19548851158</v>
      </c>
      <c r="BK858" s="1">
        <f t="shared" si="97"/>
        <v>-710985.87870612997</v>
      </c>
      <c r="BL858" s="26">
        <f t="shared" si="92"/>
        <v>0</v>
      </c>
      <c r="BM858" s="26">
        <f t="shared" si="91"/>
        <v>0</v>
      </c>
      <c r="BN858">
        <f t="shared" si="93"/>
        <v>71.333333333333641</v>
      </c>
      <c r="BO858">
        <f t="shared" si="94"/>
        <v>71.333333333333641</v>
      </c>
    </row>
    <row r="859" spans="61:67" x14ac:dyDescent="0.25">
      <c r="BI859" s="2">
        <f t="shared" si="95"/>
        <v>71.41666666666697</v>
      </c>
      <c r="BJ859" s="1">
        <f t="shared" si="96"/>
        <v>-665279.80975166894</v>
      </c>
      <c r="BK859" s="1">
        <f t="shared" si="97"/>
        <v>-713682.21663773363</v>
      </c>
      <c r="BL859" s="26">
        <f t="shared" si="92"/>
        <v>0</v>
      </c>
      <c r="BM859" s="26">
        <f t="shared" ref="BM859:BM922" si="98">IF(AND(BL859&gt;0,BK859&gt;0),1,0)</f>
        <v>0</v>
      </c>
      <c r="BN859">
        <f t="shared" si="93"/>
        <v>71.41666666666697</v>
      </c>
      <c r="BO859">
        <f t="shared" si="94"/>
        <v>71.41666666666697</v>
      </c>
    </row>
    <row r="860" spans="61:67" x14ac:dyDescent="0.25">
      <c r="BI860" s="2">
        <f t="shared" si="95"/>
        <v>71.500000000000298</v>
      </c>
      <c r="BJ860" s="1">
        <f t="shared" si="96"/>
        <v>-667856.16925226711</v>
      </c>
      <c r="BK860" s="1">
        <f t="shared" si="97"/>
        <v>-716385.63245640777</v>
      </c>
      <c r="BL860" s="26">
        <f t="shared" si="92"/>
        <v>0</v>
      </c>
      <c r="BM860" s="26">
        <f t="shared" si="98"/>
        <v>0</v>
      </c>
      <c r="BN860">
        <f t="shared" si="93"/>
        <v>71.500000000000298</v>
      </c>
      <c r="BO860">
        <f t="shared" si="94"/>
        <v>71.500000000000298</v>
      </c>
    </row>
    <row r="861" spans="61:67" x14ac:dyDescent="0.25">
      <c r="BI861" s="2">
        <f t="shared" si="95"/>
        <v>71.583333333333627</v>
      </c>
      <c r="BJ861" s="1">
        <f t="shared" si="96"/>
        <v>-670439.2916965544</v>
      </c>
      <c r="BK861" s="1">
        <f t="shared" si="97"/>
        <v>-719096.14474160585</v>
      </c>
      <c r="BL861" s="26">
        <f t="shared" si="92"/>
        <v>0</v>
      </c>
      <c r="BM861" s="26">
        <f t="shared" si="98"/>
        <v>0</v>
      </c>
      <c r="BN861">
        <f t="shared" si="93"/>
        <v>71.583333333333627</v>
      </c>
      <c r="BO861">
        <f t="shared" si="94"/>
        <v>71.583333333333627</v>
      </c>
    </row>
    <row r="862" spans="61:67" x14ac:dyDescent="0.25">
      <c r="BI862" s="2">
        <f t="shared" si="95"/>
        <v>71.666666666666956</v>
      </c>
      <c r="BJ862" s="1">
        <f t="shared" si="96"/>
        <v>-673029.19483725796</v>
      </c>
      <c r="BK862" s="1">
        <f t="shared" si="97"/>
        <v>-721813.77212155261</v>
      </c>
      <c r="BL862" s="26">
        <f t="shared" si="92"/>
        <v>0</v>
      </c>
      <c r="BM862" s="26">
        <f t="shared" si="98"/>
        <v>0</v>
      </c>
      <c r="BN862">
        <f t="shared" si="93"/>
        <v>71.666666666666956</v>
      </c>
      <c r="BO862">
        <f t="shared" si="94"/>
        <v>71.666666666666956</v>
      </c>
    </row>
    <row r="863" spans="61:67" x14ac:dyDescent="0.25">
      <c r="BI863" s="2">
        <f t="shared" si="95"/>
        <v>71.750000000000284</v>
      </c>
      <c r="BJ863" s="1">
        <f t="shared" si="96"/>
        <v>-675625.89647370589</v>
      </c>
      <c r="BK863" s="1">
        <f t="shared" si="97"/>
        <v>-724538.53327337175</v>
      </c>
      <c r="BL863" s="26">
        <f t="shared" si="92"/>
        <v>0</v>
      </c>
      <c r="BM863" s="26">
        <f t="shared" si="98"/>
        <v>0</v>
      </c>
      <c r="BN863">
        <f t="shared" si="93"/>
        <v>71.750000000000284</v>
      </c>
      <c r="BO863">
        <f t="shared" si="94"/>
        <v>71.750000000000284</v>
      </c>
    </row>
    <row r="864" spans="61:67" x14ac:dyDescent="0.25">
      <c r="BI864" s="2">
        <f t="shared" si="95"/>
        <v>71.833333333333613</v>
      </c>
      <c r="BJ864" s="1">
        <f t="shared" si="96"/>
        <v>-678229.41445194941</v>
      </c>
      <c r="BK864" s="1">
        <f t="shared" si="97"/>
        <v>-727270.44692321448</v>
      </c>
      <c r="BL864" s="26">
        <f t="shared" si="92"/>
        <v>0</v>
      </c>
      <c r="BM864" s="26">
        <f t="shared" si="98"/>
        <v>0</v>
      </c>
      <c r="BN864">
        <f t="shared" si="93"/>
        <v>71.833333333333613</v>
      </c>
      <c r="BO864">
        <f t="shared" si="94"/>
        <v>71.833333333333613</v>
      </c>
    </row>
    <row r="865" spans="61:67" x14ac:dyDescent="0.25">
      <c r="BI865" s="2">
        <f t="shared" si="95"/>
        <v>71.916666666666941</v>
      </c>
      <c r="BJ865" s="1">
        <f t="shared" si="96"/>
        <v>-680839.7666648858</v>
      </c>
      <c r="BK865" s="1">
        <f t="shared" si="97"/>
        <v>-730009.53184638801</v>
      </c>
      <c r="BL865" s="26">
        <f t="shared" si="92"/>
        <v>0</v>
      </c>
      <c r="BM865" s="26">
        <f t="shared" si="98"/>
        <v>0</v>
      </c>
      <c r="BN865">
        <f t="shared" si="93"/>
        <v>71.916666666666941</v>
      </c>
      <c r="BO865">
        <f t="shared" si="94"/>
        <v>71.916666666666941</v>
      </c>
    </row>
    <row r="866" spans="61:67" x14ac:dyDescent="0.25">
      <c r="BI866" s="2">
        <f t="shared" si="95"/>
        <v>72.00000000000027</v>
      </c>
      <c r="BJ866" s="1">
        <f t="shared" si="96"/>
        <v>-683456.97105238121</v>
      </c>
      <c r="BK866" s="1">
        <f t="shared" si="97"/>
        <v>-732755.80686748482</v>
      </c>
      <c r="BL866" s="26">
        <f t="shared" si="92"/>
        <v>0</v>
      </c>
      <c r="BM866" s="26">
        <f t="shared" si="98"/>
        <v>0</v>
      </c>
      <c r="BN866">
        <f t="shared" si="93"/>
        <v>72.00000000000027</v>
      </c>
      <c r="BO866">
        <f t="shared" si="94"/>
        <v>72.00000000000027</v>
      </c>
    </row>
    <row r="867" spans="61:67" x14ac:dyDescent="0.25">
      <c r="BI867" s="2">
        <f t="shared" si="95"/>
        <v>72.083333333333599</v>
      </c>
      <c r="BJ867" s="1">
        <f t="shared" si="96"/>
        <v>-686081.04560139379</v>
      </c>
      <c r="BK867" s="1">
        <f t="shared" si="97"/>
        <v>-735509.29086051206</v>
      </c>
      <c r="BL867" s="26">
        <f t="shared" si="92"/>
        <v>0</v>
      </c>
      <c r="BM867" s="26">
        <f t="shared" si="98"/>
        <v>0</v>
      </c>
      <c r="BN867">
        <f t="shared" si="93"/>
        <v>72.083333333333599</v>
      </c>
      <c r="BO867">
        <f t="shared" si="94"/>
        <v>72.083333333333599</v>
      </c>
    </row>
    <row r="868" spans="61:67" x14ac:dyDescent="0.25">
      <c r="BI868" s="2">
        <f t="shared" si="95"/>
        <v>72.166666666666927</v>
      </c>
      <c r="BJ868" s="1">
        <f t="shared" si="96"/>
        <v>-688712.00834609754</v>
      </c>
      <c r="BK868" s="1">
        <f t="shared" si="97"/>
        <v>-738270.00274902093</v>
      </c>
      <c r="BL868" s="26">
        <f t="shared" si="92"/>
        <v>0</v>
      </c>
      <c r="BM868" s="26">
        <f t="shared" si="98"/>
        <v>0</v>
      </c>
      <c r="BN868">
        <f t="shared" si="93"/>
        <v>72.166666666666927</v>
      </c>
      <c r="BO868">
        <f t="shared" si="94"/>
        <v>72.166666666666927</v>
      </c>
    </row>
    <row r="869" spans="61:67" x14ac:dyDescent="0.25">
      <c r="BI869" s="2">
        <f t="shared" si="95"/>
        <v>72.250000000000256</v>
      </c>
      <c r="BJ869" s="1">
        <f t="shared" si="96"/>
        <v>-691349.87736800616</v>
      </c>
      <c r="BK869" s="1">
        <f t="shared" si="97"/>
        <v>-741037.96150623716</v>
      </c>
      <c r="BL869" s="26">
        <f t="shared" si="92"/>
        <v>0</v>
      </c>
      <c r="BM869" s="26">
        <f t="shared" si="98"/>
        <v>0</v>
      </c>
      <c r="BN869">
        <f t="shared" si="93"/>
        <v>72.250000000000256</v>
      </c>
      <c r="BO869">
        <f t="shared" si="94"/>
        <v>72.250000000000256</v>
      </c>
    </row>
    <row r="870" spans="61:67" x14ac:dyDescent="0.25">
      <c r="BI870" s="2">
        <f t="shared" si="95"/>
        <v>72.333333333333584</v>
      </c>
      <c r="BJ870" s="1">
        <f t="shared" si="96"/>
        <v>-693994.67079609726</v>
      </c>
      <c r="BK870" s="1">
        <f t="shared" si="97"/>
        <v>-743813.18615519116</v>
      </c>
      <c r="BL870" s="26">
        <f t="shared" si="92"/>
        <v>0</v>
      </c>
      <c r="BM870" s="26">
        <f t="shared" si="98"/>
        <v>0</v>
      </c>
      <c r="BN870">
        <f t="shared" si="93"/>
        <v>72.333333333333584</v>
      </c>
      <c r="BO870">
        <f t="shared" si="94"/>
        <v>72.333333333333584</v>
      </c>
    </row>
    <row r="871" spans="61:67" x14ac:dyDescent="0.25">
      <c r="BI871" s="2">
        <f t="shared" si="95"/>
        <v>72.416666666666913</v>
      </c>
      <c r="BJ871" s="1">
        <f t="shared" si="96"/>
        <v>-696646.40680693707</v>
      </c>
      <c r="BK871" s="1">
        <f t="shared" si="97"/>
        <v>-746595.69576884864</v>
      </c>
      <c r="BL871" s="26">
        <f t="shared" si="92"/>
        <v>0</v>
      </c>
      <c r="BM871" s="26">
        <f t="shared" si="98"/>
        <v>0</v>
      </c>
      <c r="BN871">
        <f t="shared" si="93"/>
        <v>72.416666666666913</v>
      </c>
      <c r="BO871">
        <f t="shared" si="94"/>
        <v>72.416666666666913</v>
      </c>
    </row>
    <row r="872" spans="61:67" x14ac:dyDescent="0.25">
      <c r="BI872" s="2">
        <f t="shared" si="95"/>
        <v>72.500000000000242</v>
      </c>
      <c r="BJ872" s="1">
        <f t="shared" si="96"/>
        <v>-699305.10362480534</v>
      </c>
      <c r="BK872" s="1">
        <f t="shared" si="97"/>
        <v>-749385.50947024196</v>
      </c>
      <c r="BL872" s="26">
        <f t="shared" si="92"/>
        <v>0</v>
      </c>
      <c r="BM872" s="26">
        <f t="shared" si="98"/>
        <v>0</v>
      </c>
      <c r="BN872">
        <f t="shared" si="93"/>
        <v>72.500000000000242</v>
      </c>
      <c r="BO872">
        <f t="shared" si="94"/>
        <v>72.500000000000242</v>
      </c>
    </row>
    <row r="873" spans="61:67" x14ac:dyDescent="0.25">
      <c r="BI873" s="2">
        <f t="shared" si="95"/>
        <v>72.58333333333357</v>
      </c>
      <c r="BJ873" s="1">
        <f t="shared" si="96"/>
        <v>-701970.77952182048</v>
      </c>
      <c r="BK873" s="1">
        <f t="shared" si="97"/>
        <v>-752182.64643260138</v>
      </c>
      <c r="BL873" s="26">
        <f t="shared" si="92"/>
        <v>0</v>
      </c>
      <c r="BM873" s="26">
        <f t="shared" si="98"/>
        <v>0</v>
      </c>
      <c r="BN873">
        <f t="shared" si="93"/>
        <v>72.58333333333357</v>
      </c>
      <c r="BO873">
        <f t="shared" si="94"/>
        <v>72.58333333333357</v>
      </c>
    </row>
    <row r="874" spans="61:67" x14ac:dyDescent="0.25">
      <c r="BI874" s="2">
        <f t="shared" si="95"/>
        <v>72.666666666666899</v>
      </c>
      <c r="BJ874" s="1">
        <f t="shared" si="96"/>
        <v>-704643.4528180653</v>
      </c>
      <c r="BK874" s="1">
        <f t="shared" si="97"/>
        <v>-754987.12587948702</v>
      </c>
      <c r="BL874" s="26">
        <f t="shared" si="92"/>
        <v>0</v>
      </c>
      <c r="BM874" s="26">
        <f t="shared" si="98"/>
        <v>0</v>
      </c>
      <c r="BN874">
        <f t="shared" si="93"/>
        <v>72.666666666666899</v>
      </c>
      <c r="BO874">
        <f t="shared" si="94"/>
        <v>72.666666666666899</v>
      </c>
    </row>
    <row r="875" spans="61:67" x14ac:dyDescent="0.25">
      <c r="BI875" s="2">
        <f t="shared" si="95"/>
        <v>72.750000000000227</v>
      </c>
      <c r="BJ875" s="1">
        <f t="shared" si="96"/>
        <v>-707323.14188171283</v>
      </c>
      <c r="BK875" s="1">
        <f t="shared" si="97"/>
        <v>-757798.96708492073</v>
      </c>
      <c r="BL875" s="26">
        <f t="shared" si="92"/>
        <v>0</v>
      </c>
      <c r="BM875" s="26">
        <f t="shared" si="98"/>
        <v>0</v>
      </c>
      <c r="BN875">
        <f t="shared" si="93"/>
        <v>72.750000000000227</v>
      </c>
      <c r="BO875">
        <f t="shared" si="94"/>
        <v>72.750000000000227</v>
      </c>
    </row>
    <row r="876" spans="61:67" x14ac:dyDescent="0.25">
      <c r="BI876" s="2">
        <f t="shared" si="95"/>
        <v>72.833333333333556</v>
      </c>
      <c r="BJ876" s="1">
        <f t="shared" si="96"/>
        <v>-710009.86512915243</v>
      </c>
      <c r="BK876" s="1">
        <f t="shared" si="97"/>
        <v>-760618.18937351869</v>
      </c>
      <c r="BL876" s="26">
        <f t="shared" si="92"/>
        <v>0</v>
      </c>
      <c r="BM876" s="26">
        <f t="shared" si="98"/>
        <v>0</v>
      </c>
      <c r="BN876">
        <f t="shared" si="93"/>
        <v>72.833333333333556</v>
      </c>
      <c r="BO876">
        <f t="shared" si="94"/>
        <v>72.833333333333556</v>
      </c>
    </row>
    <row r="877" spans="61:67" x14ac:dyDescent="0.25">
      <c r="BI877" s="2">
        <f t="shared" si="95"/>
        <v>72.916666666666885</v>
      </c>
      <c r="BJ877" s="1">
        <f t="shared" si="96"/>
        <v>-712703.64102511655</v>
      </c>
      <c r="BK877" s="1">
        <f t="shared" si="97"/>
        <v>-763444.81212062424</v>
      </c>
      <c r="BL877" s="26">
        <f t="shared" si="92"/>
        <v>0</v>
      </c>
      <c r="BM877" s="26">
        <f t="shared" si="98"/>
        <v>0</v>
      </c>
      <c r="BN877">
        <f t="shared" si="93"/>
        <v>72.916666666666885</v>
      </c>
      <c r="BO877">
        <f t="shared" si="94"/>
        <v>72.916666666666885</v>
      </c>
    </row>
    <row r="878" spans="61:67" x14ac:dyDescent="0.25">
      <c r="BI878" s="2">
        <f t="shared" si="95"/>
        <v>73.000000000000213</v>
      </c>
      <c r="BJ878" s="1">
        <f t="shared" si="96"/>
        <v>-715404.48808280751</v>
      </c>
      <c r="BK878" s="1">
        <f t="shared" si="97"/>
        <v>-766278.85475244094</v>
      </c>
      <c r="BL878" s="26">
        <f t="shared" si="92"/>
        <v>0</v>
      </c>
      <c r="BM878" s="26">
        <f t="shared" si="98"/>
        <v>0</v>
      </c>
      <c r="BN878">
        <f t="shared" si="93"/>
        <v>73.000000000000213</v>
      </c>
      <c r="BO878">
        <f t="shared" si="94"/>
        <v>73.000000000000213</v>
      </c>
    </row>
    <row r="879" spans="61:67" x14ac:dyDescent="0.25">
      <c r="BI879" s="2">
        <f t="shared" si="95"/>
        <v>73.083333333333542</v>
      </c>
      <c r="BJ879" s="1">
        <f t="shared" si="96"/>
        <v>-718112.42486402497</v>
      </c>
      <c r="BK879" s="1">
        <f t="shared" si="97"/>
        <v>-769120.33674616623</v>
      </c>
      <c r="BL879" s="26">
        <f t="shared" si="92"/>
        <v>0</v>
      </c>
      <c r="BM879" s="26">
        <f t="shared" si="98"/>
        <v>0</v>
      </c>
      <c r="BN879">
        <f t="shared" si="93"/>
        <v>73.083333333333542</v>
      </c>
      <c r="BO879">
        <f t="shared" si="94"/>
        <v>73.083333333333542</v>
      </c>
    </row>
    <row r="880" spans="61:67" x14ac:dyDescent="0.25">
      <c r="BI880" s="2">
        <f t="shared" si="95"/>
        <v>73.16666666666687</v>
      </c>
      <c r="BJ880" s="1">
        <f t="shared" si="96"/>
        <v>-720827.46997929306</v>
      </c>
      <c r="BK880" s="1">
        <f t="shared" si="97"/>
        <v>-771969.27763012494</v>
      </c>
      <c r="BL880" s="26">
        <f t="shared" si="92"/>
        <v>0</v>
      </c>
      <c r="BM880" s="26">
        <f t="shared" si="98"/>
        <v>0</v>
      </c>
      <c r="BN880">
        <f t="shared" si="93"/>
        <v>73.16666666666687</v>
      </c>
      <c r="BO880">
        <f t="shared" si="94"/>
        <v>73.16666666666687</v>
      </c>
    </row>
    <row r="881" spans="61:67" x14ac:dyDescent="0.25">
      <c r="BI881" s="2">
        <f t="shared" si="95"/>
        <v>73.250000000000199</v>
      </c>
      <c r="BJ881" s="1">
        <f t="shared" si="96"/>
        <v>-723549.64208798879</v>
      </c>
      <c r="BK881" s="1">
        <f t="shared" si="97"/>
        <v>-774825.69698390411</v>
      </c>
      <c r="BL881" s="26">
        <f t="shared" si="92"/>
        <v>0</v>
      </c>
      <c r="BM881" s="26">
        <f t="shared" si="98"/>
        <v>0</v>
      </c>
      <c r="BN881">
        <f t="shared" si="93"/>
        <v>73.250000000000199</v>
      </c>
      <c r="BO881">
        <f t="shared" si="94"/>
        <v>73.250000000000199</v>
      </c>
    </row>
    <row r="882" spans="61:67" x14ac:dyDescent="0.25">
      <c r="BI882" s="2">
        <f t="shared" si="95"/>
        <v>73.333333333333528</v>
      </c>
      <c r="BJ882" s="1">
        <f t="shared" si="96"/>
        <v>-726278.95989846985</v>
      </c>
      <c r="BK882" s="1">
        <f t="shared" si="97"/>
        <v>-777689.61443848698</v>
      </c>
      <c r="BL882" s="26">
        <f t="shared" si="92"/>
        <v>0</v>
      </c>
      <c r="BM882" s="26">
        <f t="shared" si="98"/>
        <v>0</v>
      </c>
      <c r="BN882">
        <f t="shared" si="93"/>
        <v>73.333333333333528</v>
      </c>
      <c r="BO882">
        <f t="shared" si="94"/>
        <v>73.333333333333528</v>
      </c>
    </row>
    <row r="883" spans="61:67" x14ac:dyDescent="0.25">
      <c r="BI883" s="2">
        <f t="shared" si="95"/>
        <v>73.416666666666856</v>
      </c>
      <c r="BJ883" s="1">
        <f t="shared" si="96"/>
        <v>-729015.44216820342</v>
      </c>
      <c r="BK883" s="1">
        <f t="shared" si="97"/>
        <v>-780561.04967638804</v>
      </c>
      <c r="BL883" s="26">
        <f t="shared" si="92"/>
        <v>0</v>
      </c>
      <c r="BM883" s="26">
        <f t="shared" si="98"/>
        <v>0</v>
      </c>
      <c r="BN883">
        <f t="shared" si="93"/>
        <v>73.416666666666856</v>
      </c>
      <c r="BO883">
        <f t="shared" si="94"/>
        <v>73.416666666666856</v>
      </c>
    </row>
    <row r="884" spans="61:67" x14ac:dyDescent="0.25">
      <c r="BI884" s="2">
        <f t="shared" si="95"/>
        <v>73.500000000000185</v>
      </c>
      <c r="BJ884" s="1">
        <f t="shared" si="96"/>
        <v>-731759.10770389508</v>
      </c>
      <c r="BK884" s="1">
        <f t="shared" si="97"/>
        <v>-783440.02243178862</v>
      </c>
      <c r="BL884" s="26">
        <f t="shared" si="92"/>
        <v>0</v>
      </c>
      <c r="BM884" s="26">
        <f t="shared" si="98"/>
        <v>0</v>
      </c>
      <c r="BN884">
        <f t="shared" si="93"/>
        <v>73.500000000000185</v>
      </c>
      <c r="BO884">
        <f t="shared" si="94"/>
        <v>73.500000000000185</v>
      </c>
    </row>
    <row r="885" spans="61:67" x14ac:dyDescent="0.25">
      <c r="BI885" s="2">
        <f t="shared" si="95"/>
        <v>73.583333333333513</v>
      </c>
      <c r="BJ885" s="1">
        <f t="shared" si="96"/>
        <v>-734509.97536161786</v>
      </c>
      <c r="BK885" s="1">
        <f t="shared" si="97"/>
        <v>-786326.5524906721</v>
      </c>
      <c r="BL885" s="26">
        <f t="shared" si="92"/>
        <v>0</v>
      </c>
      <c r="BM885" s="26">
        <f t="shared" si="98"/>
        <v>0</v>
      </c>
      <c r="BN885">
        <f t="shared" si="93"/>
        <v>73.583333333333513</v>
      </c>
      <c r="BO885">
        <f t="shared" si="94"/>
        <v>73.583333333333513</v>
      </c>
    </row>
    <row r="886" spans="61:67" x14ac:dyDescent="0.25">
      <c r="BI886" s="2">
        <f t="shared" si="95"/>
        <v>73.666666666666842</v>
      </c>
      <c r="BJ886" s="1">
        <f t="shared" si="96"/>
        <v>-737268.06404694216</v>
      </c>
      <c r="BK886" s="1">
        <f t="shared" si="97"/>
        <v>-789220.65969096019</v>
      </c>
      <c r="BL886" s="26">
        <f t="shared" si="92"/>
        <v>0</v>
      </c>
      <c r="BM886" s="26">
        <f t="shared" si="98"/>
        <v>0</v>
      </c>
      <c r="BN886">
        <f t="shared" si="93"/>
        <v>73.666666666666842</v>
      </c>
      <c r="BO886">
        <f t="shared" si="94"/>
        <v>73.666666666666842</v>
      </c>
    </row>
    <row r="887" spans="61:67" x14ac:dyDescent="0.25">
      <c r="BI887" s="2">
        <f t="shared" si="95"/>
        <v>73.750000000000171</v>
      </c>
      <c r="BJ887" s="1">
        <f t="shared" si="96"/>
        <v>-740033.39271506551</v>
      </c>
      <c r="BK887" s="1">
        <f t="shared" si="97"/>
        <v>-792122.36392264906</v>
      </c>
      <c r="BL887" s="26">
        <f t="shared" si="92"/>
        <v>0</v>
      </c>
      <c r="BM887" s="26">
        <f t="shared" si="98"/>
        <v>0</v>
      </c>
      <c r="BN887">
        <f t="shared" si="93"/>
        <v>73.750000000000171</v>
      </c>
      <c r="BO887">
        <f t="shared" si="94"/>
        <v>73.750000000000171</v>
      </c>
    </row>
    <row r="888" spans="61:67" x14ac:dyDescent="0.25">
      <c r="BI888" s="2">
        <f t="shared" si="95"/>
        <v>73.833333333333499</v>
      </c>
      <c r="BJ888" s="1">
        <f t="shared" si="96"/>
        <v>-742805.98037094262</v>
      </c>
      <c r="BK888" s="1">
        <f t="shared" si="97"/>
        <v>-795031.68512794608</v>
      </c>
      <c r="BL888" s="26">
        <f t="shared" si="92"/>
        <v>0</v>
      </c>
      <c r="BM888" s="26">
        <f t="shared" si="98"/>
        <v>0</v>
      </c>
      <c r="BN888">
        <f t="shared" si="93"/>
        <v>73.833333333333499</v>
      </c>
      <c r="BO888">
        <f t="shared" si="94"/>
        <v>73.833333333333499</v>
      </c>
    </row>
    <row r="889" spans="61:67" x14ac:dyDescent="0.25">
      <c r="BI889" s="2">
        <f t="shared" si="95"/>
        <v>73.916666666666828</v>
      </c>
      <c r="BJ889" s="1">
        <f t="shared" si="96"/>
        <v>-745585.84606941638</v>
      </c>
      <c r="BK889" s="1">
        <f t="shared" si="97"/>
        <v>-797948.64330140699</v>
      </c>
      <c r="BL889" s="26">
        <f t="shared" si="92"/>
        <v>0</v>
      </c>
      <c r="BM889" s="26">
        <f t="shared" si="98"/>
        <v>0</v>
      </c>
      <c r="BN889">
        <f t="shared" si="93"/>
        <v>73.916666666666828</v>
      </c>
      <c r="BO889">
        <f t="shared" si="94"/>
        <v>73.916666666666828</v>
      </c>
    </row>
    <row r="890" spans="61:67" x14ac:dyDescent="0.25">
      <c r="BI890" s="2">
        <f t="shared" si="95"/>
        <v>74.000000000000156</v>
      </c>
      <c r="BJ890" s="1">
        <f t="shared" si="96"/>
        <v>-748373.00891534868</v>
      </c>
      <c r="BK890" s="1">
        <f t="shared" si="97"/>
        <v>-800873.25849007326</v>
      </c>
      <c r="BL890" s="26">
        <f t="shared" si="92"/>
        <v>0</v>
      </c>
      <c r="BM890" s="26">
        <f t="shared" si="98"/>
        <v>0</v>
      </c>
      <c r="BN890">
        <f t="shared" si="93"/>
        <v>74.000000000000156</v>
      </c>
      <c r="BO890">
        <f t="shared" si="94"/>
        <v>74.000000000000156</v>
      </c>
    </row>
    <row r="891" spans="61:67" x14ac:dyDescent="0.25">
      <c r="BI891" s="2">
        <f t="shared" si="95"/>
        <v>74.083333333333485</v>
      </c>
      <c r="BJ891" s="1">
        <f t="shared" si="96"/>
        <v>-751167.48806375149</v>
      </c>
      <c r="BK891" s="1">
        <f t="shared" si="97"/>
        <v>-803805.55079360981</v>
      </c>
      <c r="BL891" s="26">
        <f t="shared" si="92"/>
        <v>0</v>
      </c>
      <c r="BM891" s="26">
        <f t="shared" si="98"/>
        <v>0</v>
      </c>
      <c r="BN891">
        <f t="shared" si="93"/>
        <v>74.083333333333485</v>
      </c>
      <c r="BO891">
        <f t="shared" si="94"/>
        <v>74.083333333333485</v>
      </c>
    </row>
    <row r="892" spans="61:67" x14ac:dyDescent="0.25">
      <c r="BI892" s="2">
        <f t="shared" si="95"/>
        <v>74.166666666666814</v>
      </c>
      <c r="BJ892" s="1">
        <f t="shared" si="96"/>
        <v>-753969.30271991889</v>
      </c>
      <c r="BK892" s="1">
        <f t="shared" si="97"/>
        <v>-806745.54036444309</v>
      </c>
      <c r="BL892" s="26">
        <f t="shared" si="92"/>
        <v>0</v>
      </c>
      <c r="BM892" s="26">
        <f t="shared" si="98"/>
        <v>0</v>
      </c>
      <c r="BN892">
        <f t="shared" si="93"/>
        <v>74.166666666666814</v>
      </c>
      <c r="BO892">
        <f t="shared" si="94"/>
        <v>74.166666666666814</v>
      </c>
    </row>
    <row r="893" spans="61:67" x14ac:dyDescent="0.25">
      <c r="BI893" s="2">
        <f t="shared" si="95"/>
        <v>74.250000000000142</v>
      </c>
      <c r="BJ893" s="1">
        <f t="shared" si="96"/>
        <v>-756778.47213955875</v>
      </c>
      <c r="BK893" s="1">
        <f t="shared" si="97"/>
        <v>-809693.24740789982</v>
      </c>
      <c r="BL893" s="26">
        <f t="shared" si="92"/>
        <v>0</v>
      </c>
      <c r="BM893" s="26">
        <f t="shared" si="98"/>
        <v>0</v>
      </c>
      <c r="BN893">
        <f t="shared" si="93"/>
        <v>74.250000000000142</v>
      </c>
      <c r="BO893">
        <f t="shared" si="94"/>
        <v>74.250000000000142</v>
      </c>
    </row>
    <row r="894" spans="61:67" x14ac:dyDescent="0.25">
      <c r="BI894" s="2">
        <f t="shared" si="95"/>
        <v>74.333333333333471</v>
      </c>
      <c r="BJ894" s="1">
        <f t="shared" si="96"/>
        <v>-759595.01562892518</v>
      </c>
      <c r="BK894" s="1">
        <f t="shared" si="97"/>
        <v>-812648.69218234567</v>
      </c>
      <c r="BL894" s="26">
        <f t="shared" si="92"/>
        <v>0</v>
      </c>
      <c r="BM894" s="26">
        <f t="shared" si="98"/>
        <v>0</v>
      </c>
      <c r="BN894">
        <f t="shared" si="93"/>
        <v>74.333333333333471</v>
      </c>
      <c r="BO894">
        <f t="shared" si="94"/>
        <v>74.333333333333471</v>
      </c>
    </row>
    <row r="895" spans="61:67" x14ac:dyDescent="0.25">
      <c r="BI895" s="2">
        <f t="shared" si="95"/>
        <v>74.416666666666799</v>
      </c>
      <c r="BJ895" s="1">
        <f t="shared" si="96"/>
        <v>-762418.95254495123</v>
      </c>
      <c r="BK895" s="1">
        <f t="shared" si="97"/>
        <v>-815611.89499932446</v>
      </c>
      <c r="BL895" s="26">
        <f t="shared" si="92"/>
        <v>0</v>
      </c>
      <c r="BM895" s="26">
        <f t="shared" si="98"/>
        <v>0</v>
      </c>
      <c r="BN895">
        <f t="shared" si="93"/>
        <v>74.416666666666799</v>
      </c>
      <c r="BO895">
        <f t="shared" si="94"/>
        <v>74.416666666666799</v>
      </c>
    </row>
    <row r="896" spans="61:67" x14ac:dyDescent="0.25">
      <c r="BI896" s="2">
        <f t="shared" si="95"/>
        <v>74.500000000000128</v>
      </c>
      <c r="BJ896" s="1">
        <f t="shared" si="96"/>
        <v>-765250.30229538179</v>
      </c>
      <c r="BK896" s="1">
        <f t="shared" si="97"/>
        <v>-818582.87622369779</v>
      </c>
      <c r="BL896" s="26">
        <f t="shared" si="92"/>
        <v>0</v>
      </c>
      <c r="BM896" s="26">
        <f t="shared" si="98"/>
        <v>0</v>
      </c>
      <c r="BN896">
        <f t="shared" si="93"/>
        <v>74.500000000000128</v>
      </c>
      <c r="BO896">
        <f t="shared" si="94"/>
        <v>74.500000000000128</v>
      </c>
    </row>
    <row r="897" spans="61:67" x14ac:dyDescent="0.25">
      <c r="BI897" s="2">
        <f t="shared" si="95"/>
        <v>74.583333333333456</v>
      </c>
      <c r="BJ897" s="1">
        <f t="shared" si="96"/>
        <v>-768089.08433890727</v>
      </c>
      <c r="BK897" s="1">
        <f t="shared" si="97"/>
        <v>-821561.65627378505</v>
      </c>
      <c r="BL897" s="26">
        <f t="shared" si="92"/>
        <v>0</v>
      </c>
      <c r="BM897" s="26">
        <f t="shared" si="98"/>
        <v>0</v>
      </c>
      <c r="BN897">
        <f t="shared" si="93"/>
        <v>74.583333333333456</v>
      </c>
      <c r="BO897">
        <f t="shared" si="94"/>
        <v>74.583333333333456</v>
      </c>
    </row>
    <row r="898" spans="61:67" x14ac:dyDescent="0.25">
      <c r="BI898" s="2">
        <f t="shared" si="95"/>
        <v>74.666666666666785</v>
      </c>
      <c r="BJ898" s="1">
        <f t="shared" si="96"/>
        <v>-770935.31818529696</v>
      </c>
      <c r="BK898" s="1">
        <f t="shared" si="97"/>
        <v>-824548.25562150381</v>
      </c>
      <c r="BL898" s="26">
        <f t="shared" ref="BL898:BL961" si="99">IF(BI898&gt;$G$12,0,1)</f>
        <v>0</v>
      </c>
      <c r="BM898" s="26">
        <f t="shared" si="98"/>
        <v>0</v>
      </c>
      <c r="BN898">
        <f t="shared" ref="BN898:BN961" si="100">IF(BK898&lt;0,BI898,999)</f>
        <v>74.666666666666785</v>
      </c>
      <c r="BO898">
        <f t="shared" ref="BO898:BO961" si="101">IF(BJ898&lt;0,BI898,999)</f>
        <v>74.666666666666785</v>
      </c>
    </row>
    <row r="899" spans="61:67" x14ac:dyDescent="0.25">
      <c r="BI899" s="2">
        <f t="shared" ref="BI899:BI962" si="102">BI898+1/12</f>
        <v>74.750000000000114</v>
      </c>
      <c r="BJ899" s="1">
        <f t="shared" ref="BJ899:BJ962" si="103">BJ898*(1+$C$4/12) - $C$3</f>
        <v>-773789.02339553344</v>
      </c>
      <c r="BK899" s="1">
        <f t="shared" si="97"/>
        <v>-827542.69479251036</v>
      </c>
      <c r="BL899" s="26">
        <f t="shared" si="99"/>
        <v>0</v>
      </c>
      <c r="BM899" s="26">
        <f t="shared" si="98"/>
        <v>0</v>
      </c>
      <c r="BN899">
        <f t="shared" si="100"/>
        <v>74.750000000000114</v>
      </c>
      <c r="BO899">
        <f t="shared" si="101"/>
        <v>74.750000000000114</v>
      </c>
    </row>
    <row r="900" spans="61:67" x14ac:dyDescent="0.25">
      <c r="BI900" s="2">
        <f t="shared" si="102"/>
        <v>74.833333333333442</v>
      </c>
      <c r="BJ900" s="1">
        <f t="shared" si="103"/>
        <v>-776650.21958194685</v>
      </c>
      <c r="BK900" s="1">
        <f t="shared" ref="BK900:BK963" si="104">BK899*(1+$D$4/12)-$C$3-($D$3-$C$3)*BL900</f>
        <v>-830544.9943663408</v>
      </c>
      <c r="BL900" s="26">
        <f t="shared" si="99"/>
        <v>0</v>
      </c>
      <c r="BM900" s="26">
        <f t="shared" si="98"/>
        <v>0</v>
      </c>
      <c r="BN900">
        <f t="shared" si="100"/>
        <v>74.833333333333442</v>
      </c>
      <c r="BO900">
        <f t="shared" si="101"/>
        <v>74.833333333333442</v>
      </c>
    </row>
    <row r="901" spans="61:67" x14ac:dyDescent="0.25">
      <c r="BI901" s="2">
        <f t="shared" si="102"/>
        <v>74.916666666666771</v>
      </c>
      <c r="BJ901" s="1">
        <f t="shared" si="103"/>
        <v>-779518.92640834954</v>
      </c>
      <c r="BK901" s="1">
        <f t="shared" si="104"/>
        <v>-833555.17497655249</v>
      </c>
      <c r="BL901" s="26">
        <f t="shared" si="99"/>
        <v>0</v>
      </c>
      <c r="BM901" s="26">
        <f t="shared" si="98"/>
        <v>0</v>
      </c>
      <c r="BN901">
        <f t="shared" si="100"/>
        <v>74.916666666666771</v>
      </c>
      <c r="BO901">
        <f t="shared" si="101"/>
        <v>74.916666666666771</v>
      </c>
    </row>
    <row r="902" spans="61:67" x14ac:dyDescent="0.25">
      <c r="BI902" s="2">
        <f t="shared" si="102"/>
        <v>75.000000000000099</v>
      </c>
      <c r="BJ902" s="1">
        <f t="shared" si="103"/>
        <v>-782395.16359017149</v>
      </c>
      <c r="BK902" s="1">
        <f t="shared" si="104"/>
        <v>-836573.25731086603</v>
      </c>
      <c r="BL902" s="26">
        <f t="shared" si="99"/>
        <v>0</v>
      </c>
      <c r="BM902" s="26">
        <f t="shared" si="98"/>
        <v>0</v>
      </c>
      <c r="BN902">
        <f t="shared" si="100"/>
        <v>75.000000000000099</v>
      </c>
      <c r="BO902">
        <f t="shared" si="101"/>
        <v>75.000000000000099</v>
      </c>
    </row>
    <row r="903" spans="61:67" x14ac:dyDescent="0.25">
      <c r="BI903" s="2">
        <f t="shared" si="102"/>
        <v>75.083333333333428</v>
      </c>
      <c r="BJ903" s="1">
        <f t="shared" si="103"/>
        <v>-785278.95089459582</v>
      </c>
      <c r="BK903" s="1">
        <f t="shared" si="104"/>
        <v>-839599.26211130712</v>
      </c>
      <c r="BL903" s="26">
        <f t="shared" si="99"/>
        <v>0</v>
      </c>
      <c r="BM903" s="26">
        <f t="shared" si="98"/>
        <v>0</v>
      </c>
      <c r="BN903">
        <f t="shared" si="100"/>
        <v>75.083333333333428</v>
      </c>
      <c r="BO903">
        <f t="shared" si="101"/>
        <v>75.083333333333428</v>
      </c>
    </row>
    <row r="904" spans="61:67" x14ac:dyDescent="0.25">
      <c r="BI904" s="2">
        <f t="shared" si="102"/>
        <v>75.166666666666757</v>
      </c>
      <c r="BJ904" s="1">
        <f t="shared" si="103"/>
        <v>-788170.30814069416</v>
      </c>
      <c r="BK904" s="1">
        <f t="shared" si="104"/>
        <v>-842633.21017434937</v>
      </c>
      <c r="BL904" s="26">
        <f t="shared" si="99"/>
        <v>0</v>
      </c>
      <c r="BM904" s="26">
        <f t="shared" si="98"/>
        <v>0</v>
      </c>
      <c r="BN904">
        <f t="shared" si="100"/>
        <v>75.166666666666757</v>
      </c>
      <c r="BO904">
        <f t="shared" si="101"/>
        <v>75.166666666666757</v>
      </c>
    </row>
    <row r="905" spans="61:67" x14ac:dyDescent="0.25">
      <c r="BI905" s="2">
        <f t="shared" si="102"/>
        <v>75.250000000000085</v>
      </c>
      <c r="BJ905" s="1">
        <f t="shared" si="103"/>
        <v>-791069.25519956357</v>
      </c>
      <c r="BK905" s="1">
        <f t="shared" si="104"/>
        <v>-845675.12235105713</v>
      </c>
      <c r="BL905" s="26">
        <f t="shared" si="99"/>
        <v>0</v>
      </c>
      <c r="BM905" s="26">
        <f t="shared" si="98"/>
        <v>0</v>
      </c>
      <c r="BN905">
        <f t="shared" si="100"/>
        <v>75.250000000000085</v>
      </c>
      <c r="BO905">
        <f t="shared" si="101"/>
        <v>75.250000000000085</v>
      </c>
    </row>
    <row r="906" spans="61:67" x14ac:dyDescent="0.25">
      <c r="BI906" s="2">
        <f t="shared" si="102"/>
        <v>75.333333333333414</v>
      </c>
      <c r="BJ906" s="1">
        <f t="shared" si="103"/>
        <v>-793975.81199446251</v>
      </c>
      <c r="BK906" s="1">
        <f t="shared" si="104"/>
        <v>-848725.0195472287</v>
      </c>
      <c r="BL906" s="26">
        <f t="shared" si="99"/>
        <v>0</v>
      </c>
      <c r="BM906" s="26">
        <f t="shared" si="98"/>
        <v>0</v>
      </c>
      <c r="BN906">
        <f t="shared" si="100"/>
        <v>75.333333333333414</v>
      </c>
      <c r="BO906">
        <f t="shared" si="101"/>
        <v>75.333333333333414</v>
      </c>
    </row>
    <row r="907" spans="61:67" x14ac:dyDescent="0.25">
      <c r="BI907" s="2">
        <f t="shared" si="102"/>
        <v>75.416666666666742</v>
      </c>
      <c r="BJ907" s="1">
        <f t="shared" si="103"/>
        <v>-796889.99850094807</v>
      </c>
      <c r="BK907" s="1">
        <f t="shared" si="104"/>
        <v>-851782.92272354022</v>
      </c>
      <c r="BL907" s="26">
        <f t="shared" si="99"/>
        <v>0</v>
      </c>
      <c r="BM907" s="26">
        <f t="shared" si="98"/>
        <v>0</v>
      </c>
      <c r="BN907">
        <f t="shared" si="100"/>
        <v>75.416666666666742</v>
      </c>
      <c r="BO907">
        <f t="shared" si="101"/>
        <v>75.416666666666742</v>
      </c>
    </row>
    <row r="908" spans="61:67" x14ac:dyDescent="0.25">
      <c r="BI908" s="2">
        <f t="shared" si="102"/>
        <v>75.500000000000071</v>
      </c>
      <c r="BJ908" s="1">
        <f t="shared" si="103"/>
        <v>-799811.83474701317</v>
      </c>
      <c r="BK908" s="1">
        <f t="shared" si="104"/>
        <v>-854848.85289568955</v>
      </c>
      <c r="BL908" s="26">
        <f t="shared" si="99"/>
        <v>0</v>
      </c>
      <c r="BM908" s="26">
        <f t="shared" si="98"/>
        <v>0</v>
      </c>
      <c r="BN908">
        <f t="shared" si="100"/>
        <v>75.500000000000071</v>
      </c>
      <c r="BO908">
        <f t="shared" si="101"/>
        <v>75.500000000000071</v>
      </c>
    </row>
    <row r="909" spans="61:67" x14ac:dyDescent="0.25">
      <c r="BI909" s="2">
        <f t="shared" si="102"/>
        <v>75.5833333333334</v>
      </c>
      <c r="BJ909" s="1">
        <f t="shared" si="103"/>
        <v>-802741.3408132242</v>
      </c>
      <c r="BK909" s="1">
        <f t="shared" si="104"/>
        <v>-857922.83113454084</v>
      </c>
      <c r="BL909" s="26">
        <f t="shared" si="99"/>
        <v>0</v>
      </c>
      <c r="BM909" s="26">
        <f t="shared" si="98"/>
        <v>0</v>
      </c>
      <c r="BN909">
        <f t="shared" si="100"/>
        <v>75.5833333333334</v>
      </c>
      <c r="BO909">
        <f t="shared" si="101"/>
        <v>75.5833333333334</v>
      </c>
    </row>
    <row r="910" spans="61:67" x14ac:dyDescent="0.25">
      <c r="BI910" s="2">
        <f t="shared" si="102"/>
        <v>75.666666666666728</v>
      </c>
      <c r="BJ910" s="1">
        <f t="shared" si="103"/>
        <v>-805678.53683285904</v>
      </c>
      <c r="BK910" s="1">
        <f t="shared" si="104"/>
        <v>-861004.87856626906</v>
      </c>
      <c r="BL910" s="26">
        <f t="shared" si="99"/>
        <v>0</v>
      </c>
      <c r="BM910" s="26">
        <f t="shared" si="98"/>
        <v>0</v>
      </c>
      <c r="BN910">
        <f t="shared" si="100"/>
        <v>75.666666666666728</v>
      </c>
      <c r="BO910">
        <f t="shared" si="101"/>
        <v>75.666666666666728</v>
      </c>
    </row>
    <row r="911" spans="61:67" x14ac:dyDescent="0.25">
      <c r="BI911" s="2">
        <f t="shared" si="102"/>
        <v>75.750000000000057</v>
      </c>
      <c r="BJ911" s="1">
        <f t="shared" si="103"/>
        <v>-808623.44299204543</v>
      </c>
      <c r="BK911" s="1">
        <f t="shared" si="104"/>
        <v>-864095.01637250558</v>
      </c>
      <c r="BL911" s="26">
        <f t="shared" si="99"/>
        <v>0</v>
      </c>
      <c r="BM911" s="26">
        <f t="shared" si="98"/>
        <v>0</v>
      </c>
      <c r="BN911">
        <f t="shared" si="100"/>
        <v>75.750000000000057</v>
      </c>
      <c r="BO911">
        <f t="shared" si="101"/>
        <v>75.750000000000057</v>
      </c>
    </row>
    <row r="912" spans="61:67" x14ac:dyDescent="0.25">
      <c r="BI912" s="2">
        <f t="shared" si="102"/>
        <v>75.833333333333385</v>
      </c>
      <c r="BJ912" s="1">
        <f t="shared" si="103"/>
        <v>-811576.07952989964</v>
      </c>
      <c r="BK912" s="1">
        <f t="shared" si="104"/>
        <v>-867193.26579048345</v>
      </c>
      <c r="BL912" s="26">
        <f t="shared" si="99"/>
        <v>0</v>
      </c>
      <c r="BM912" s="26">
        <f t="shared" si="98"/>
        <v>0</v>
      </c>
      <c r="BN912">
        <f t="shared" si="100"/>
        <v>75.833333333333385</v>
      </c>
      <c r="BO912">
        <f t="shared" si="101"/>
        <v>75.833333333333385</v>
      </c>
    </row>
    <row r="913" spans="61:67" x14ac:dyDescent="0.25">
      <c r="BI913" s="2">
        <f t="shared" si="102"/>
        <v>75.916666666666714</v>
      </c>
      <c r="BJ913" s="1">
        <f t="shared" si="103"/>
        <v>-814536.46673866571</v>
      </c>
      <c r="BK913" s="1">
        <f t="shared" si="104"/>
        <v>-870299.64811318356</v>
      </c>
      <c r="BL913" s="26">
        <f t="shared" si="99"/>
        <v>0</v>
      </c>
      <c r="BM913" s="26">
        <f t="shared" si="98"/>
        <v>0</v>
      </c>
      <c r="BN913">
        <f t="shared" si="100"/>
        <v>75.916666666666714</v>
      </c>
      <c r="BO913">
        <f t="shared" si="101"/>
        <v>75.916666666666714</v>
      </c>
    </row>
    <row r="914" spans="61:67" x14ac:dyDescent="0.25">
      <c r="BI914" s="2">
        <f t="shared" si="102"/>
        <v>76.000000000000043</v>
      </c>
      <c r="BJ914" s="1">
        <f t="shared" si="103"/>
        <v>-817504.62496385479</v>
      </c>
      <c r="BK914" s="1">
        <f t="shared" si="104"/>
        <v>-873414.18468948081</v>
      </c>
      <c r="BL914" s="26">
        <f t="shared" si="99"/>
        <v>0</v>
      </c>
      <c r="BM914" s="26">
        <f t="shared" si="98"/>
        <v>0</v>
      </c>
      <c r="BN914">
        <f t="shared" si="100"/>
        <v>76.000000000000043</v>
      </c>
      <c r="BO914">
        <f t="shared" si="101"/>
        <v>76.000000000000043</v>
      </c>
    </row>
    <row r="915" spans="61:67" x14ac:dyDescent="0.25">
      <c r="BI915" s="2">
        <f t="shared" si="102"/>
        <v>76.083333333333371</v>
      </c>
      <c r="BJ915" s="1">
        <f t="shared" si="103"/>
        <v>-820480.57460438495</v>
      </c>
      <c r="BK915" s="1">
        <f t="shared" si="104"/>
        <v>-876536.89692429081</v>
      </c>
      <c r="BL915" s="26">
        <f t="shared" si="99"/>
        <v>0</v>
      </c>
      <c r="BM915" s="26">
        <f t="shared" si="98"/>
        <v>0</v>
      </c>
      <c r="BN915">
        <f t="shared" si="100"/>
        <v>76.083333333333371</v>
      </c>
      <c r="BO915">
        <f t="shared" si="101"/>
        <v>76.083333333333371</v>
      </c>
    </row>
    <row r="916" spans="61:67" x14ac:dyDescent="0.25">
      <c r="BI916" s="2">
        <f t="shared" si="102"/>
        <v>76.1666666666667</v>
      </c>
      <c r="BJ916" s="1">
        <f t="shared" si="103"/>
        <v>-823464.33611272159</v>
      </c>
      <c r="BK916" s="1">
        <f t="shared" si="104"/>
        <v>-879667.80627871712</v>
      </c>
      <c r="BL916" s="26">
        <f t="shared" si="99"/>
        <v>0</v>
      </c>
      <c r="BM916" s="26">
        <f t="shared" si="98"/>
        <v>0</v>
      </c>
      <c r="BN916">
        <f t="shared" si="100"/>
        <v>76.1666666666667</v>
      </c>
      <c r="BO916">
        <f t="shared" si="101"/>
        <v>76.1666666666667</v>
      </c>
    </row>
    <row r="917" spans="61:67" x14ac:dyDescent="0.25">
      <c r="BI917" s="2">
        <f t="shared" si="102"/>
        <v>76.250000000000028</v>
      </c>
      <c r="BJ917" s="1">
        <f t="shared" si="103"/>
        <v>-826455.92999501759</v>
      </c>
      <c r="BK917" s="1">
        <f t="shared" si="104"/>
        <v>-882806.93427019881</v>
      </c>
      <c r="BL917" s="26">
        <f t="shared" si="99"/>
        <v>0</v>
      </c>
      <c r="BM917" s="26">
        <f t="shared" si="98"/>
        <v>0</v>
      </c>
      <c r="BN917">
        <f t="shared" si="100"/>
        <v>76.250000000000028</v>
      </c>
      <c r="BO917">
        <f t="shared" si="101"/>
        <v>76.250000000000028</v>
      </c>
    </row>
    <row r="918" spans="61:67" x14ac:dyDescent="0.25">
      <c r="BI918" s="2">
        <f t="shared" si="102"/>
        <v>76.333333333333357</v>
      </c>
      <c r="BJ918" s="1">
        <f t="shared" si="103"/>
        <v>-829455.37681125465</v>
      </c>
      <c r="BK918" s="1">
        <f t="shared" si="104"/>
        <v>-885954.30247265822</v>
      </c>
      <c r="BL918" s="26">
        <f t="shared" si="99"/>
        <v>0</v>
      </c>
      <c r="BM918" s="26">
        <f t="shared" si="98"/>
        <v>0</v>
      </c>
      <c r="BN918">
        <f t="shared" si="100"/>
        <v>76.333333333333357</v>
      </c>
      <c r="BO918">
        <f t="shared" si="101"/>
        <v>76.333333333333357</v>
      </c>
    </row>
    <row r="919" spans="61:67" x14ac:dyDescent="0.25">
      <c r="BI919" s="2">
        <f t="shared" si="102"/>
        <v>76.416666666666686</v>
      </c>
      <c r="BJ919" s="1">
        <f t="shared" si="103"/>
        <v>-832462.69717538427</v>
      </c>
      <c r="BK919" s="1">
        <f t="shared" si="104"/>
        <v>-889109.93251664902</v>
      </c>
      <c r="BL919" s="26">
        <f t="shared" si="99"/>
        <v>0</v>
      </c>
      <c r="BM919" s="26">
        <f t="shared" si="98"/>
        <v>0</v>
      </c>
      <c r="BN919">
        <f t="shared" si="100"/>
        <v>76.416666666666686</v>
      </c>
      <c r="BO919">
        <f t="shared" si="101"/>
        <v>76.416666666666686</v>
      </c>
    </row>
    <row r="920" spans="61:67" x14ac:dyDescent="0.25">
      <c r="BI920" s="2">
        <f t="shared" si="102"/>
        <v>76.500000000000014</v>
      </c>
      <c r="BJ920" s="1">
        <f t="shared" si="103"/>
        <v>-835477.91175546974</v>
      </c>
      <c r="BK920" s="1">
        <f t="shared" si="104"/>
        <v>-892273.84608950536</v>
      </c>
      <c r="BL920" s="26">
        <f t="shared" si="99"/>
        <v>0</v>
      </c>
      <c r="BM920" s="26">
        <f t="shared" si="98"/>
        <v>0</v>
      </c>
      <c r="BN920">
        <f t="shared" si="100"/>
        <v>76.500000000000014</v>
      </c>
      <c r="BO920">
        <f t="shared" si="101"/>
        <v>76.500000000000014</v>
      </c>
    </row>
    <row r="921" spans="61:67" x14ac:dyDescent="0.25">
      <c r="BI921" s="2">
        <f t="shared" si="102"/>
        <v>76.583333333333343</v>
      </c>
      <c r="BJ921" s="1">
        <f t="shared" si="103"/>
        <v>-838501.0412738279</v>
      </c>
      <c r="BK921" s="1">
        <f t="shared" si="104"/>
        <v>-895446.06493549037</v>
      </c>
      <c r="BL921" s="26">
        <f t="shared" si="99"/>
        <v>0</v>
      </c>
      <c r="BM921" s="26">
        <f t="shared" si="98"/>
        <v>0</v>
      </c>
      <c r="BN921">
        <f t="shared" si="100"/>
        <v>76.583333333333343</v>
      </c>
      <c r="BO921">
        <f t="shared" si="101"/>
        <v>76.583333333333343</v>
      </c>
    </row>
    <row r="922" spans="61:67" x14ac:dyDescent="0.25">
      <c r="BI922" s="2">
        <f t="shared" si="102"/>
        <v>76.666666666666671</v>
      </c>
      <c r="BJ922" s="1">
        <f t="shared" si="103"/>
        <v>-841532.10650717176</v>
      </c>
      <c r="BK922" s="1">
        <f t="shared" si="104"/>
        <v>-898626.61085594608</v>
      </c>
      <c r="BL922" s="26">
        <f t="shared" si="99"/>
        <v>0</v>
      </c>
      <c r="BM922" s="26">
        <f t="shared" si="98"/>
        <v>0</v>
      </c>
      <c r="BN922">
        <f t="shared" si="100"/>
        <v>76.666666666666671</v>
      </c>
      <c r="BO922">
        <f t="shared" si="101"/>
        <v>76.666666666666671</v>
      </c>
    </row>
    <row r="923" spans="61:67" x14ac:dyDescent="0.25">
      <c r="BI923" s="2">
        <f t="shared" si="102"/>
        <v>76.75</v>
      </c>
      <c r="BJ923" s="1">
        <f t="shared" si="103"/>
        <v>-844571.1282867532</v>
      </c>
      <c r="BK923" s="1">
        <f t="shared" si="104"/>
        <v>-901815.50570944301</v>
      </c>
      <c r="BL923" s="26">
        <f t="shared" si="99"/>
        <v>0</v>
      </c>
      <c r="BM923" s="26">
        <f t="shared" ref="BM923:BM986" si="105">IF(AND(BL923&gt;0,BK923&gt;0),1,0)</f>
        <v>0</v>
      </c>
      <c r="BN923">
        <f t="shared" si="100"/>
        <v>76.75</v>
      </c>
      <c r="BO923">
        <f t="shared" si="101"/>
        <v>76.75</v>
      </c>
    </row>
    <row r="924" spans="61:67" x14ac:dyDescent="0.25">
      <c r="BI924" s="2">
        <f t="shared" si="102"/>
        <v>76.833333333333329</v>
      </c>
      <c r="BJ924" s="1">
        <f t="shared" si="103"/>
        <v>-847618.12749850599</v>
      </c>
      <c r="BK924" s="1">
        <f t="shared" si="104"/>
        <v>-905012.77141193044</v>
      </c>
      <c r="BL924" s="26">
        <f t="shared" si="99"/>
        <v>0</v>
      </c>
      <c r="BM924" s="26">
        <f t="shared" si="105"/>
        <v>0</v>
      </c>
      <c r="BN924">
        <f t="shared" si="100"/>
        <v>76.833333333333329</v>
      </c>
      <c r="BO924">
        <f t="shared" si="101"/>
        <v>76.833333333333329</v>
      </c>
    </row>
    <row r="925" spans="61:67" x14ac:dyDescent="0.25">
      <c r="BI925" s="2">
        <f t="shared" si="102"/>
        <v>76.916666666666657</v>
      </c>
      <c r="BJ925" s="1">
        <f t="shared" si="103"/>
        <v>-850673.12508318969</v>
      </c>
      <c r="BK925" s="1">
        <f t="shared" si="104"/>
        <v>-908218.42993688688</v>
      </c>
      <c r="BL925" s="26">
        <f t="shared" si="99"/>
        <v>0</v>
      </c>
      <c r="BM925" s="26">
        <f t="shared" si="105"/>
        <v>0</v>
      </c>
      <c r="BN925">
        <f t="shared" si="100"/>
        <v>76.916666666666657</v>
      </c>
      <c r="BO925">
        <f t="shared" si="101"/>
        <v>76.916666666666657</v>
      </c>
    </row>
    <row r="926" spans="61:67" x14ac:dyDescent="0.25">
      <c r="BI926" s="2">
        <f t="shared" si="102"/>
        <v>76.999999999999986</v>
      </c>
      <c r="BJ926" s="1">
        <f t="shared" si="103"/>
        <v>-853736.1420365331</v>
      </c>
      <c r="BK926" s="1">
        <f t="shared" si="104"/>
        <v>-911432.50331547135</v>
      </c>
      <c r="BL926" s="26">
        <f t="shared" si="99"/>
        <v>0</v>
      </c>
      <c r="BM926" s="26">
        <f t="shared" si="105"/>
        <v>0</v>
      </c>
      <c r="BN926">
        <f t="shared" si="100"/>
        <v>76.999999999999986</v>
      </c>
      <c r="BO926">
        <f t="shared" si="101"/>
        <v>76.999999999999986</v>
      </c>
    </row>
    <row r="927" spans="61:67" x14ac:dyDescent="0.25">
      <c r="BI927" s="2">
        <f t="shared" si="102"/>
        <v>77.083333333333314</v>
      </c>
      <c r="BJ927" s="1">
        <f t="shared" si="103"/>
        <v>-856807.19940937904</v>
      </c>
      <c r="BK927" s="1">
        <f t="shared" si="104"/>
        <v>-914655.0136366745</v>
      </c>
      <c r="BL927" s="26">
        <f t="shared" si="99"/>
        <v>0</v>
      </c>
      <c r="BM927" s="26">
        <f t="shared" si="105"/>
        <v>0</v>
      </c>
      <c r="BN927">
        <f t="shared" si="100"/>
        <v>77.083333333333314</v>
      </c>
      <c r="BO927">
        <f t="shared" si="101"/>
        <v>77.083333333333314</v>
      </c>
    </row>
    <row r="928" spans="61:67" x14ac:dyDescent="0.25">
      <c r="BI928" s="2">
        <f t="shared" si="102"/>
        <v>77.166666666666643</v>
      </c>
      <c r="BJ928" s="1">
        <f t="shared" si="103"/>
        <v>-859886.31830782874</v>
      </c>
      <c r="BK928" s="1">
        <f t="shared" si="104"/>
        <v>-917885.98304747092</v>
      </c>
      <c r="BL928" s="26">
        <f t="shared" si="99"/>
        <v>0</v>
      </c>
      <c r="BM928" s="26">
        <f t="shared" si="105"/>
        <v>0</v>
      </c>
      <c r="BN928">
        <f t="shared" si="100"/>
        <v>77.166666666666643</v>
      </c>
      <c r="BO928">
        <f t="shared" si="101"/>
        <v>77.166666666666643</v>
      </c>
    </row>
    <row r="929" spans="61:67" x14ac:dyDescent="0.25">
      <c r="BI929" s="2">
        <f t="shared" si="102"/>
        <v>77.249999999999972</v>
      </c>
      <c r="BJ929" s="1">
        <f t="shared" si="103"/>
        <v>-862973.51989338687</v>
      </c>
      <c r="BK929" s="1">
        <f t="shared" si="104"/>
        <v>-921125.43375297065</v>
      </c>
      <c r="BL929" s="26">
        <f t="shared" si="99"/>
        <v>0</v>
      </c>
      <c r="BM929" s="26">
        <f t="shared" si="105"/>
        <v>0</v>
      </c>
      <c r="BN929">
        <f t="shared" si="100"/>
        <v>77.249999999999972</v>
      </c>
      <c r="BO929">
        <f t="shared" si="101"/>
        <v>77.249999999999972</v>
      </c>
    </row>
    <row r="930" spans="61:67" x14ac:dyDescent="0.25">
      <c r="BI930" s="2">
        <f t="shared" si="102"/>
        <v>77.3333333333333</v>
      </c>
      <c r="BJ930" s="1">
        <f t="shared" si="103"/>
        <v>-866068.82538310706</v>
      </c>
      <c r="BK930" s="1">
        <f t="shared" si="104"/>
        <v>-924373.38801657234</v>
      </c>
      <c r="BL930" s="26">
        <f t="shared" si="99"/>
        <v>0</v>
      </c>
      <c r="BM930" s="26">
        <f t="shared" si="105"/>
        <v>0</v>
      </c>
      <c r="BN930">
        <f t="shared" si="100"/>
        <v>77.3333333333333</v>
      </c>
      <c r="BO930">
        <f t="shared" si="101"/>
        <v>77.3333333333333</v>
      </c>
    </row>
    <row r="931" spans="61:67" x14ac:dyDescent="0.25">
      <c r="BI931" s="2">
        <f t="shared" si="102"/>
        <v>77.416666666666629</v>
      </c>
      <c r="BJ931" s="1">
        <f t="shared" si="103"/>
        <v>-869172.2560497378</v>
      </c>
      <c r="BK931" s="1">
        <f t="shared" si="104"/>
        <v>-927629.8681601159</v>
      </c>
      <c r="BL931" s="26">
        <f t="shared" si="99"/>
        <v>0</v>
      </c>
      <c r="BM931" s="26">
        <f t="shared" si="105"/>
        <v>0</v>
      </c>
      <c r="BN931">
        <f t="shared" si="100"/>
        <v>77.416666666666629</v>
      </c>
      <c r="BO931">
        <f t="shared" si="101"/>
        <v>77.416666666666629</v>
      </c>
    </row>
    <row r="932" spans="61:67" x14ac:dyDescent="0.25">
      <c r="BI932" s="2">
        <f t="shared" si="102"/>
        <v>77.499999999999957</v>
      </c>
      <c r="BJ932" s="1">
        <f t="shared" si="103"/>
        <v>-872283.8332218685</v>
      </c>
      <c r="BK932" s="1">
        <f t="shared" si="104"/>
        <v>-930894.89656403626</v>
      </c>
      <c r="BL932" s="26">
        <f t="shared" si="99"/>
        <v>0</v>
      </c>
      <c r="BM932" s="26">
        <f t="shared" si="105"/>
        <v>0</v>
      </c>
      <c r="BN932">
        <f t="shared" si="100"/>
        <v>77.499999999999957</v>
      </c>
      <c r="BO932">
        <f t="shared" si="101"/>
        <v>77.499999999999957</v>
      </c>
    </row>
    <row r="933" spans="61:67" x14ac:dyDescent="0.25">
      <c r="BI933" s="2">
        <f t="shared" si="102"/>
        <v>77.583333333333286</v>
      </c>
      <c r="BJ933" s="1">
        <f t="shared" si="103"/>
        <v>-875403.57828407595</v>
      </c>
      <c r="BK933" s="1">
        <f t="shared" si="104"/>
        <v>-934168.49566751695</v>
      </c>
      <c r="BL933" s="26">
        <f t="shared" si="99"/>
        <v>0</v>
      </c>
      <c r="BM933" s="26">
        <f t="shared" si="105"/>
        <v>0</v>
      </c>
      <c r="BN933">
        <f t="shared" si="100"/>
        <v>77.583333333333286</v>
      </c>
      <c r="BO933">
        <f t="shared" si="101"/>
        <v>77.583333333333286</v>
      </c>
    </row>
    <row r="934" spans="61:67" x14ac:dyDescent="0.25">
      <c r="BI934" s="2">
        <f t="shared" si="102"/>
        <v>77.666666666666615</v>
      </c>
      <c r="BJ934" s="1">
        <f t="shared" si="103"/>
        <v>-878531.51267707173</v>
      </c>
      <c r="BK934" s="1">
        <f t="shared" si="104"/>
        <v>-937450.68796864431</v>
      </c>
      <c r="BL934" s="26">
        <f t="shared" si="99"/>
        <v>0</v>
      </c>
      <c r="BM934" s="26">
        <f t="shared" si="105"/>
        <v>0</v>
      </c>
      <c r="BN934">
        <f t="shared" si="100"/>
        <v>77.666666666666615</v>
      </c>
      <c r="BO934">
        <f t="shared" si="101"/>
        <v>77.666666666666615</v>
      </c>
    </row>
    <row r="935" spans="61:67" x14ac:dyDescent="0.25">
      <c r="BI935" s="2">
        <f t="shared" si="102"/>
        <v>77.749999999999943</v>
      </c>
      <c r="BJ935" s="1">
        <f t="shared" si="103"/>
        <v>-881667.6578978491</v>
      </c>
      <c r="BK935" s="1">
        <f t="shared" si="104"/>
        <v>-940741.49602456205</v>
      </c>
      <c r="BL935" s="26">
        <f t="shared" si="99"/>
        <v>0</v>
      </c>
      <c r="BM935" s="26">
        <f t="shared" si="105"/>
        <v>0</v>
      </c>
      <c r="BN935">
        <f t="shared" si="100"/>
        <v>77.749999999999943</v>
      </c>
      <c r="BO935">
        <f t="shared" si="101"/>
        <v>77.749999999999943</v>
      </c>
    </row>
    <row r="936" spans="61:67" x14ac:dyDescent="0.25">
      <c r="BI936" s="2">
        <f t="shared" si="102"/>
        <v>77.833333333333272</v>
      </c>
      <c r="BJ936" s="1">
        <f t="shared" si="103"/>
        <v>-884812.03549983108</v>
      </c>
      <c r="BK936" s="1">
        <f t="shared" si="104"/>
        <v>-944040.94245162664</v>
      </c>
      <c r="BL936" s="26">
        <f t="shared" si="99"/>
        <v>0</v>
      </c>
      <c r="BM936" s="26">
        <f t="shared" si="105"/>
        <v>0</v>
      </c>
      <c r="BN936">
        <f t="shared" si="100"/>
        <v>77.833333333333272</v>
      </c>
      <c r="BO936">
        <f t="shared" si="101"/>
        <v>77.833333333333272</v>
      </c>
    </row>
    <row r="937" spans="61:67" x14ac:dyDescent="0.25">
      <c r="BI937" s="2">
        <f t="shared" si="102"/>
        <v>77.9166666666666</v>
      </c>
      <c r="BJ937" s="1">
        <f t="shared" si="103"/>
        <v>-887964.66709301819</v>
      </c>
      <c r="BK937" s="1">
        <f t="shared" si="104"/>
        <v>-947349.04992556223</v>
      </c>
      <c r="BL937" s="26">
        <f t="shared" si="99"/>
        <v>0</v>
      </c>
      <c r="BM937" s="26">
        <f t="shared" si="105"/>
        <v>0</v>
      </c>
      <c r="BN937">
        <f t="shared" si="100"/>
        <v>77.9166666666666</v>
      </c>
      <c r="BO937">
        <f t="shared" si="101"/>
        <v>77.9166666666666</v>
      </c>
    </row>
    <row r="938" spans="61:67" x14ac:dyDescent="0.25">
      <c r="BI938" s="2">
        <f t="shared" si="102"/>
        <v>77.999999999999929</v>
      </c>
      <c r="BJ938" s="1">
        <f t="shared" si="103"/>
        <v>-891125.57434413745</v>
      </c>
      <c r="BK938" s="1">
        <f t="shared" si="104"/>
        <v>-950665.84118161688</v>
      </c>
      <c r="BL938" s="26">
        <f t="shared" si="99"/>
        <v>0</v>
      </c>
      <c r="BM938" s="26">
        <f t="shared" si="105"/>
        <v>0</v>
      </c>
      <c r="BN938">
        <f t="shared" si="100"/>
        <v>77.999999999999929</v>
      </c>
      <c r="BO938">
        <f t="shared" si="101"/>
        <v>77.999999999999929</v>
      </c>
    </row>
    <row r="939" spans="61:67" x14ac:dyDescent="0.25">
      <c r="BI939" s="2">
        <f t="shared" si="102"/>
        <v>78.083333333333258</v>
      </c>
      <c r="BJ939" s="1">
        <f t="shared" si="103"/>
        <v>-894294.77897679096</v>
      </c>
      <c r="BK939" s="1">
        <f t="shared" si="104"/>
        <v>-953991.33901471877</v>
      </c>
      <c r="BL939" s="26">
        <f t="shared" si="99"/>
        <v>0</v>
      </c>
      <c r="BM939" s="26">
        <f t="shared" si="105"/>
        <v>0</v>
      </c>
      <c r="BN939">
        <f t="shared" si="100"/>
        <v>78.083333333333258</v>
      </c>
      <c r="BO939">
        <f t="shared" si="101"/>
        <v>78.083333333333258</v>
      </c>
    </row>
    <row r="940" spans="61:67" x14ac:dyDescent="0.25">
      <c r="BI940" s="2">
        <f t="shared" si="102"/>
        <v>78.166666666666586</v>
      </c>
      <c r="BJ940" s="1">
        <f t="shared" si="103"/>
        <v>-897472.30277160509</v>
      </c>
      <c r="BK940" s="1">
        <f t="shared" si="104"/>
        <v>-957325.56627963251</v>
      </c>
      <c r="BL940" s="26">
        <f t="shared" si="99"/>
        <v>0</v>
      </c>
      <c r="BM940" s="26">
        <f t="shared" si="105"/>
        <v>0</v>
      </c>
      <c r="BN940">
        <f t="shared" si="100"/>
        <v>78.166666666666586</v>
      </c>
      <c r="BO940">
        <f t="shared" si="101"/>
        <v>78.166666666666586</v>
      </c>
    </row>
    <row r="941" spans="61:67" x14ac:dyDescent="0.25">
      <c r="BI941" s="2">
        <f t="shared" si="102"/>
        <v>78.249999999999915</v>
      </c>
      <c r="BJ941" s="1">
        <f t="shared" si="103"/>
        <v>-900658.1675663807</v>
      </c>
      <c r="BK941" s="1">
        <f t="shared" si="104"/>
        <v>-960668.54589111661</v>
      </c>
      <c r="BL941" s="26">
        <f t="shared" si="99"/>
        <v>0</v>
      </c>
      <c r="BM941" s="26">
        <f t="shared" si="105"/>
        <v>0</v>
      </c>
      <c r="BN941">
        <f t="shared" si="100"/>
        <v>78.249999999999915</v>
      </c>
      <c r="BO941">
        <f t="shared" si="101"/>
        <v>78.249999999999915</v>
      </c>
    </row>
    <row r="942" spans="61:67" x14ac:dyDescent="0.25">
      <c r="BI942" s="2">
        <f t="shared" si="102"/>
        <v>78.333333333333243</v>
      </c>
      <c r="BJ942" s="1">
        <f t="shared" si="103"/>
        <v>-903852.39525624248</v>
      </c>
      <c r="BK942" s="1">
        <f t="shared" si="104"/>
        <v>-964020.30082408083</v>
      </c>
      <c r="BL942" s="26">
        <f t="shared" si="99"/>
        <v>0</v>
      </c>
      <c r="BM942" s="26">
        <f t="shared" si="105"/>
        <v>0</v>
      </c>
      <c r="BN942">
        <f t="shared" si="100"/>
        <v>78.333333333333243</v>
      </c>
      <c r="BO942">
        <f t="shared" si="101"/>
        <v>78.333333333333243</v>
      </c>
    </row>
    <row r="943" spans="61:67" x14ac:dyDescent="0.25">
      <c r="BI943" s="2">
        <f t="shared" si="102"/>
        <v>78.416666666666572</v>
      </c>
      <c r="BJ943" s="1">
        <f t="shared" si="103"/>
        <v>-907055.0077937902</v>
      </c>
      <c r="BK943" s="1">
        <f t="shared" si="104"/>
        <v>-967380.85411374411</v>
      </c>
      <c r="BL943" s="26">
        <f t="shared" si="99"/>
        <v>0</v>
      </c>
      <c r="BM943" s="26">
        <f t="shared" si="105"/>
        <v>0</v>
      </c>
      <c r="BN943">
        <f t="shared" si="100"/>
        <v>78.416666666666572</v>
      </c>
      <c r="BO943">
        <f t="shared" si="101"/>
        <v>78.416666666666572</v>
      </c>
    </row>
    <row r="944" spans="61:67" x14ac:dyDescent="0.25">
      <c r="BI944" s="2">
        <f t="shared" si="102"/>
        <v>78.499999999999901</v>
      </c>
      <c r="BJ944" s="1">
        <f t="shared" si="103"/>
        <v>-910266.02718924894</v>
      </c>
      <c r="BK944" s="1">
        <f t="shared" si="104"/>
        <v>-970750.22885579278</v>
      </c>
      <c r="BL944" s="26">
        <f t="shared" si="99"/>
        <v>0</v>
      </c>
      <c r="BM944" s="26">
        <f t="shared" si="105"/>
        <v>0</v>
      </c>
      <c r="BN944">
        <f t="shared" si="100"/>
        <v>78.499999999999901</v>
      </c>
      <c r="BO944">
        <f t="shared" si="101"/>
        <v>78.499999999999901</v>
      </c>
    </row>
    <row r="945" spans="61:67" x14ac:dyDescent="0.25">
      <c r="BI945" s="2">
        <f t="shared" si="102"/>
        <v>78.583333333333229</v>
      </c>
      <c r="BJ945" s="1">
        <f t="shared" si="103"/>
        <v>-913485.47551062086</v>
      </c>
      <c r="BK945" s="1">
        <f t="shared" si="104"/>
        <v>-974128.44820653938</v>
      </c>
      <c r="BL945" s="26">
        <f t="shared" si="99"/>
        <v>0</v>
      </c>
      <c r="BM945" s="26">
        <f t="shared" si="105"/>
        <v>0</v>
      </c>
      <c r="BN945">
        <f t="shared" si="100"/>
        <v>78.583333333333229</v>
      </c>
      <c r="BO945">
        <f t="shared" si="101"/>
        <v>78.583333333333229</v>
      </c>
    </row>
    <row r="946" spans="61:67" x14ac:dyDescent="0.25">
      <c r="BI946" s="2">
        <f t="shared" si="102"/>
        <v>78.666666666666558</v>
      </c>
      <c r="BJ946" s="1">
        <f t="shared" si="103"/>
        <v>-916713.37488383637</v>
      </c>
      <c r="BK946" s="1">
        <f t="shared" si="104"/>
        <v>-977515.53538308165</v>
      </c>
      <c r="BL946" s="26">
        <f t="shared" si="99"/>
        <v>0</v>
      </c>
      <c r="BM946" s="26">
        <f t="shared" si="105"/>
        <v>0</v>
      </c>
      <c r="BN946">
        <f t="shared" si="100"/>
        <v>78.666666666666558</v>
      </c>
      <c r="BO946">
        <f t="shared" si="101"/>
        <v>78.666666666666558</v>
      </c>
    </row>
    <row r="947" spans="61:67" x14ac:dyDescent="0.25">
      <c r="BI947" s="2">
        <f t="shared" si="102"/>
        <v>78.749999999999886</v>
      </c>
      <c r="BJ947" s="1">
        <f t="shared" si="103"/>
        <v>-919949.74749290652</v>
      </c>
      <c r="BK947" s="1">
        <f t="shared" si="104"/>
        <v>-980911.51366346236</v>
      </c>
      <c r="BL947" s="26">
        <f t="shared" si="99"/>
        <v>0</v>
      </c>
      <c r="BM947" s="26">
        <f t="shared" si="105"/>
        <v>0</v>
      </c>
      <c r="BN947">
        <f t="shared" si="100"/>
        <v>78.749999999999886</v>
      </c>
      <c r="BO947">
        <f t="shared" si="101"/>
        <v>78.749999999999886</v>
      </c>
    </row>
    <row r="948" spans="61:67" x14ac:dyDescent="0.25">
      <c r="BI948" s="2">
        <f t="shared" si="102"/>
        <v>78.833333333333215</v>
      </c>
      <c r="BJ948" s="1">
        <f t="shared" si="103"/>
        <v>-923194.61558007554</v>
      </c>
      <c r="BK948" s="1">
        <f t="shared" si="104"/>
        <v>-984316.4063868291</v>
      </c>
      <c r="BL948" s="26">
        <f t="shared" si="99"/>
        <v>0</v>
      </c>
      <c r="BM948" s="26">
        <f t="shared" si="105"/>
        <v>0</v>
      </c>
      <c r="BN948">
        <f t="shared" si="100"/>
        <v>78.833333333333215</v>
      </c>
      <c r="BO948">
        <f t="shared" si="101"/>
        <v>78.833333333333215</v>
      </c>
    </row>
    <row r="949" spans="61:67" x14ac:dyDescent="0.25">
      <c r="BI949" s="2">
        <f t="shared" si="102"/>
        <v>78.916666666666544</v>
      </c>
      <c r="BJ949" s="1">
        <f t="shared" si="103"/>
        <v>-926448.00144597329</v>
      </c>
      <c r="BK949" s="1">
        <f t="shared" si="104"/>
        <v>-987730.23695359461</v>
      </c>
      <c r="BL949" s="26">
        <f t="shared" si="99"/>
        <v>0</v>
      </c>
      <c r="BM949" s="26">
        <f t="shared" si="105"/>
        <v>0</v>
      </c>
      <c r="BN949">
        <f t="shared" si="100"/>
        <v>78.916666666666544</v>
      </c>
      <c r="BO949">
        <f t="shared" si="101"/>
        <v>78.916666666666544</v>
      </c>
    </row>
    <row r="950" spans="61:67" x14ac:dyDescent="0.25">
      <c r="BI950" s="2">
        <f t="shared" si="102"/>
        <v>78.999999999999872</v>
      </c>
      <c r="BJ950" s="1">
        <f t="shared" si="103"/>
        <v>-929709.92744976911</v>
      </c>
      <c r="BK950" s="1">
        <f t="shared" si="104"/>
        <v>-991153.02882559784</v>
      </c>
      <c r="BL950" s="26">
        <f t="shared" si="99"/>
        <v>0</v>
      </c>
      <c r="BM950" s="26">
        <f t="shared" si="105"/>
        <v>0</v>
      </c>
      <c r="BN950">
        <f t="shared" si="100"/>
        <v>78.999999999999872</v>
      </c>
      <c r="BO950">
        <f t="shared" si="101"/>
        <v>78.999999999999872</v>
      </c>
    </row>
    <row r="951" spans="61:67" x14ac:dyDescent="0.25">
      <c r="BI951" s="2">
        <f t="shared" si="102"/>
        <v>79.083333333333201</v>
      </c>
      <c r="BJ951" s="1">
        <f t="shared" si="103"/>
        <v>-932980.41600932484</v>
      </c>
      <c r="BK951" s="1">
        <f t="shared" si="104"/>
        <v>-994584.80552626518</v>
      </c>
      <c r="BL951" s="26">
        <f t="shared" si="99"/>
        <v>0</v>
      </c>
      <c r="BM951" s="26">
        <f t="shared" si="105"/>
        <v>0</v>
      </c>
      <c r="BN951">
        <f t="shared" si="100"/>
        <v>79.083333333333201</v>
      </c>
      <c r="BO951">
        <f t="shared" si="101"/>
        <v>79.083333333333201</v>
      </c>
    </row>
    <row r="952" spans="61:67" x14ac:dyDescent="0.25">
      <c r="BI952" s="2">
        <f t="shared" si="102"/>
        <v>79.166666666666529</v>
      </c>
      <c r="BJ952" s="1">
        <f t="shared" si="103"/>
        <v>-936259.48960134946</v>
      </c>
      <c r="BK952" s="1">
        <f t="shared" si="104"/>
        <v>-998025.59064077167</v>
      </c>
      <c r="BL952" s="26">
        <f t="shared" si="99"/>
        <v>0</v>
      </c>
      <c r="BM952" s="26">
        <f t="shared" si="105"/>
        <v>0</v>
      </c>
      <c r="BN952">
        <f t="shared" si="100"/>
        <v>79.166666666666529</v>
      </c>
      <c r="BO952">
        <f t="shared" si="101"/>
        <v>79.166666666666529</v>
      </c>
    </row>
    <row r="953" spans="61:67" x14ac:dyDescent="0.25">
      <c r="BI953" s="2">
        <f t="shared" si="102"/>
        <v>79.249999999999858</v>
      </c>
      <c r="BJ953" s="1">
        <f t="shared" si="103"/>
        <v>-939547.1707615531</v>
      </c>
      <c r="BK953" s="1">
        <f t="shared" si="104"/>
        <v>-1001475.4078162038</v>
      </c>
      <c r="BL953" s="26">
        <f t="shared" si="99"/>
        <v>0</v>
      </c>
      <c r="BM953" s="26">
        <f t="shared" si="105"/>
        <v>0</v>
      </c>
      <c r="BN953">
        <f t="shared" si="100"/>
        <v>79.249999999999858</v>
      </c>
      <c r="BO953">
        <f t="shared" si="101"/>
        <v>79.249999999999858</v>
      </c>
    </row>
    <row r="954" spans="61:67" x14ac:dyDescent="0.25">
      <c r="BI954" s="2">
        <f t="shared" si="102"/>
        <v>79.333333333333186</v>
      </c>
      <c r="BJ954" s="1">
        <f t="shared" si="103"/>
        <v>-942843.48208480224</v>
      </c>
      <c r="BK954" s="1">
        <f t="shared" si="104"/>
        <v>-1004934.2807617214</v>
      </c>
      <c r="BL954" s="26">
        <f t="shared" si="99"/>
        <v>0</v>
      </c>
      <c r="BM954" s="26">
        <f t="shared" si="105"/>
        <v>0</v>
      </c>
      <c r="BN954">
        <f t="shared" si="100"/>
        <v>79.333333333333186</v>
      </c>
      <c r="BO954">
        <f t="shared" si="101"/>
        <v>79.333333333333186</v>
      </c>
    </row>
    <row r="955" spans="61:67" x14ac:dyDescent="0.25">
      <c r="BI955" s="2">
        <f t="shared" si="102"/>
        <v>79.416666666666515</v>
      </c>
      <c r="BJ955" s="1">
        <f t="shared" si="103"/>
        <v>-946148.44622527494</v>
      </c>
      <c r="BK955" s="1">
        <f t="shared" si="104"/>
        <v>-1008402.233248721</v>
      </c>
      <c r="BL955" s="26">
        <f t="shared" si="99"/>
        <v>0</v>
      </c>
      <c r="BM955" s="26">
        <f t="shared" si="105"/>
        <v>0</v>
      </c>
      <c r="BN955">
        <f t="shared" si="100"/>
        <v>79.416666666666515</v>
      </c>
      <c r="BO955">
        <f t="shared" si="101"/>
        <v>79.416666666666515</v>
      </c>
    </row>
    <row r="956" spans="61:67" x14ac:dyDescent="0.25">
      <c r="BI956" s="2">
        <f t="shared" si="102"/>
        <v>79.499999999999844</v>
      </c>
      <c r="BJ956" s="1">
        <f t="shared" si="103"/>
        <v>-949462.08589661634</v>
      </c>
      <c r="BK956" s="1">
        <f t="shared" si="104"/>
        <v>-1011879.289110999</v>
      </c>
      <c r="BL956" s="26">
        <f t="shared" si="99"/>
        <v>0</v>
      </c>
      <c r="BM956" s="26">
        <f t="shared" si="105"/>
        <v>0</v>
      </c>
      <c r="BN956">
        <f t="shared" si="100"/>
        <v>79.499999999999844</v>
      </c>
      <c r="BO956">
        <f t="shared" si="101"/>
        <v>79.499999999999844</v>
      </c>
    </row>
    <row r="957" spans="61:67" x14ac:dyDescent="0.25">
      <c r="BI957" s="2">
        <f t="shared" si="102"/>
        <v>79.583333333333172</v>
      </c>
      <c r="BJ957" s="1">
        <f t="shared" si="103"/>
        <v>-952784.42387209507</v>
      </c>
      <c r="BK957" s="1">
        <f t="shared" si="104"/>
        <v>-1015365.4722449154</v>
      </c>
      <c r="BL957" s="26">
        <f t="shared" si="99"/>
        <v>0</v>
      </c>
      <c r="BM957" s="26">
        <f t="shared" si="105"/>
        <v>0</v>
      </c>
      <c r="BN957">
        <f t="shared" si="100"/>
        <v>79.583333333333172</v>
      </c>
      <c r="BO957">
        <f t="shared" si="101"/>
        <v>79.583333333333172</v>
      </c>
    </row>
    <row r="958" spans="61:67" x14ac:dyDescent="0.25">
      <c r="BI958" s="2">
        <f t="shared" si="102"/>
        <v>79.666666666666501</v>
      </c>
      <c r="BJ958" s="1">
        <f t="shared" si="103"/>
        <v>-956115.48298475938</v>
      </c>
      <c r="BK958" s="1">
        <f t="shared" si="104"/>
        <v>-1018860.8066095584</v>
      </c>
      <c r="BL958" s="26">
        <f t="shared" si="99"/>
        <v>0</v>
      </c>
      <c r="BM958" s="26">
        <f t="shared" si="105"/>
        <v>0</v>
      </c>
      <c r="BN958">
        <f t="shared" si="100"/>
        <v>79.666666666666501</v>
      </c>
      <c r="BO958">
        <f t="shared" si="101"/>
        <v>79.666666666666501</v>
      </c>
    </row>
    <row r="959" spans="61:67" x14ac:dyDescent="0.25">
      <c r="BI959" s="2">
        <f t="shared" si="102"/>
        <v>79.749999999999829</v>
      </c>
      <c r="BJ959" s="1">
        <f t="shared" si="103"/>
        <v>-959455.28612759442</v>
      </c>
      <c r="BK959" s="1">
        <f t="shared" si="104"/>
        <v>-1022365.3162269086</v>
      </c>
      <c r="BL959" s="26">
        <f t="shared" si="99"/>
        <v>0</v>
      </c>
      <c r="BM959" s="26">
        <f t="shared" si="105"/>
        <v>0</v>
      </c>
      <c r="BN959">
        <f t="shared" si="100"/>
        <v>79.749999999999829</v>
      </c>
      <c r="BO959">
        <f t="shared" si="101"/>
        <v>79.749999999999829</v>
      </c>
    </row>
    <row r="960" spans="61:67" x14ac:dyDescent="0.25">
      <c r="BI960" s="2">
        <f t="shared" si="102"/>
        <v>79.833333333333158</v>
      </c>
      <c r="BJ960" s="1">
        <f t="shared" si="103"/>
        <v>-962803.85625367949</v>
      </c>
      <c r="BK960" s="1">
        <f t="shared" si="104"/>
        <v>-1025879.0251820043</v>
      </c>
      <c r="BL960" s="26">
        <f t="shared" si="99"/>
        <v>0</v>
      </c>
      <c r="BM960" s="26">
        <f t="shared" si="105"/>
        <v>0</v>
      </c>
      <c r="BN960">
        <f t="shared" si="100"/>
        <v>79.833333333333158</v>
      </c>
      <c r="BO960">
        <f t="shared" si="101"/>
        <v>79.833333333333158</v>
      </c>
    </row>
    <row r="961" spans="61:67" x14ac:dyDescent="0.25">
      <c r="BI961" s="2">
        <f t="shared" si="102"/>
        <v>79.916666666666487</v>
      </c>
      <c r="BJ961" s="1">
        <f t="shared" si="103"/>
        <v>-966161.21637634549</v>
      </c>
      <c r="BK961" s="1">
        <f t="shared" si="104"/>
        <v>-1029401.9576231071</v>
      </c>
      <c r="BL961" s="26">
        <f t="shared" si="99"/>
        <v>0</v>
      </c>
      <c r="BM961" s="26">
        <f t="shared" si="105"/>
        <v>0</v>
      </c>
      <c r="BN961">
        <f t="shared" si="100"/>
        <v>79.916666666666487</v>
      </c>
      <c r="BO961">
        <f t="shared" si="101"/>
        <v>79.916666666666487</v>
      </c>
    </row>
    <row r="962" spans="61:67" x14ac:dyDescent="0.25">
      <c r="BI962" s="2">
        <f t="shared" si="102"/>
        <v>79.999999999999815</v>
      </c>
      <c r="BJ962" s="1">
        <f t="shared" si="103"/>
        <v>-969527.38956933352</v>
      </c>
      <c r="BK962" s="1">
        <f t="shared" si="104"/>
        <v>-1032934.1377618678</v>
      </c>
      <c r="BL962" s="26">
        <f t="shared" ref="BL962:BL1025" si="106">IF(BI962&gt;$G$12,0,1)</f>
        <v>0</v>
      </c>
      <c r="BM962" s="26">
        <f t="shared" si="105"/>
        <v>0</v>
      </c>
      <c r="BN962">
        <f t="shared" ref="BN962:BN1025" si="107">IF(BK962&lt;0,BI962,999)</f>
        <v>79.999999999999815</v>
      </c>
      <c r="BO962">
        <f t="shared" ref="BO962:BO1025" si="108">IF(BJ962&lt;0,BI962,999)</f>
        <v>79.999999999999815</v>
      </c>
    </row>
    <row r="963" spans="61:67" x14ac:dyDescent="0.25">
      <c r="BI963" s="2">
        <f t="shared" ref="BI963:BI1026" si="109">BI962+1/12</f>
        <v>80.083333333333144</v>
      </c>
      <c r="BJ963" s="1">
        <f t="shared" ref="BJ963:BJ1026" si="110">BJ962*(1+$C$4/12) - $C$3</f>
        <v>-972902.39896695316</v>
      </c>
      <c r="BK963" s="1">
        <f t="shared" si="104"/>
        <v>-1036475.5898734928</v>
      </c>
      <c r="BL963" s="26">
        <f t="shared" si="106"/>
        <v>0</v>
      </c>
      <c r="BM963" s="26">
        <f t="shared" si="105"/>
        <v>0</v>
      </c>
      <c r="BN963">
        <f t="shared" si="107"/>
        <v>80.083333333333144</v>
      </c>
      <c r="BO963">
        <f t="shared" si="108"/>
        <v>80.083333333333144</v>
      </c>
    </row>
    <row r="964" spans="61:67" x14ac:dyDescent="0.25">
      <c r="BI964" s="2">
        <f t="shared" si="109"/>
        <v>80.166666666666472</v>
      </c>
      <c r="BJ964" s="1">
        <f t="shared" si="110"/>
        <v>-976286.26776424155</v>
      </c>
      <c r="BK964" s="1">
        <f t="shared" ref="BK964:BK1027" si="111">BK963*(1+$D$4/12)-$C$3-($D$3-$C$3)*BL964</f>
        <v>-1040026.3382969109</v>
      </c>
      <c r="BL964" s="26">
        <f t="shared" si="106"/>
        <v>0</v>
      </c>
      <c r="BM964" s="26">
        <f t="shared" si="105"/>
        <v>0</v>
      </c>
      <c r="BN964">
        <f t="shared" si="107"/>
        <v>80.166666666666472</v>
      </c>
      <c r="BO964">
        <f t="shared" si="108"/>
        <v>80.166666666666472</v>
      </c>
    </row>
    <row r="965" spans="61:67" x14ac:dyDescent="0.25">
      <c r="BI965" s="2">
        <f t="shared" si="109"/>
        <v>80.249999999999801</v>
      </c>
      <c r="BJ965" s="1">
        <f t="shared" si="110"/>
        <v>-979679.01921712281</v>
      </c>
      <c r="BK965" s="1">
        <f t="shared" si="111"/>
        <v>-1043586.4074349403</v>
      </c>
      <c r="BL965" s="26">
        <f t="shared" si="106"/>
        <v>0</v>
      </c>
      <c r="BM965" s="26">
        <f t="shared" si="105"/>
        <v>0</v>
      </c>
      <c r="BN965">
        <f t="shared" si="107"/>
        <v>80.249999999999801</v>
      </c>
      <c r="BO965">
        <f t="shared" si="108"/>
        <v>80.249999999999801</v>
      </c>
    </row>
    <row r="966" spans="61:67" x14ac:dyDescent="0.25">
      <c r="BI966" s="2">
        <f t="shared" si="109"/>
        <v>80.33333333333313</v>
      </c>
      <c r="BJ966" s="1">
        <f t="shared" si="110"/>
        <v>-983080.67664256785</v>
      </c>
      <c r="BK966" s="1">
        <f t="shared" si="111"/>
        <v>-1047155.8217544572</v>
      </c>
      <c r="BL966" s="26">
        <f t="shared" si="106"/>
        <v>0</v>
      </c>
      <c r="BM966" s="26">
        <f t="shared" si="105"/>
        <v>0</v>
      </c>
      <c r="BN966">
        <f t="shared" si="107"/>
        <v>80.33333333333313</v>
      </c>
      <c r="BO966">
        <f t="shared" si="108"/>
        <v>80.33333333333313</v>
      </c>
    </row>
    <row r="967" spans="61:67" x14ac:dyDescent="0.25">
      <c r="BI967" s="2">
        <f t="shared" si="109"/>
        <v>80.416666666666458</v>
      </c>
      <c r="BJ967" s="1">
        <f t="shared" si="110"/>
        <v>-986491.26341875468</v>
      </c>
      <c r="BK967" s="1">
        <f t="shared" si="111"/>
        <v>-1050734.6057865627</v>
      </c>
      <c r="BL967" s="26">
        <f t="shared" si="106"/>
        <v>0</v>
      </c>
      <c r="BM967" s="26">
        <f t="shared" si="105"/>
        <v>0</v>
      </c>
      <c r="BN967">
        <f t="shared" si="107"/>
        <v>80.416666666666458</v>
      </c>
      <c r="BO967">
        <f t="shared" si="108"/>
        <v>80.416666666666458</v>
      </c>
    </row>
    <row r="968" spans="61:67" x14ac:dyDescent="0.25">
      <c r="BI968" s="2">
        <f t="shared" si="109"/>
        <v>80.499999999999787</v>
      </c>
      <c r="BJ968" s="1">
        <f t="shared" si="110"/>
        <v>-989910.80298522906</v>
      </c>
      <c r="BK968" s="1">
        <f t="shared" si="111"/>
        <v>-1054322.7841267525</v>
      </c>
      <c r="BL968" s="26">
        <f t="shared" si="106"/>
        <v>0</v>
      </c>
      <c r="BM968" s="26">
        <f t="shared" si="105"/>
        <v>0</v>
      </c>
      <c r="BN968">
        <f t="shared" si="107"/>
        <v>80.499999999999787</v>
      </c>
      <c r="BO968">
        <f t="shared" si="108"/>
        <v>80.499999999999787</v>
      </c>
    </row>
    <row r="969" spans="61:67" x14ac:dyDescent="0.25">
      <c r="BI969" s="2">
        <f t="shared" si="109"/>
        <v>80.583333333333115</v>
      </c>
      <c r="BJ969" s="1">
        <f t="shared" si="110"/>
        <v>-993339.31884306541</v>
      </c>
      <c r="BK969" s="1">
        <f t="shared" si="111"/>
        <v>-1057920.3814350853</v>
      </c>
      <c r="BL969" s="26">
        <f t="shared" si="106"/>
        <v>0</v>
      </c>
      <c r="BM969" s="26">
        <f t="shared" si="105"/>
        <v>0</v>
      </c>
      <c r="BN969">
        <f t="shared" si="107"/>
        <v>80.583333333333115</v>
      </c>
      <c r="BO969">
        <f t="shared" si="108"/>
        <v>80.583333333333115</v>
      </c>
    </row>
    <row r="970" spans="61:67" x14ac:dyDescent="0.25">
      <c r="BI970" s="2">
        <f t="shared" si="109"/>
        <v>80.666666666666444</v>
      </c>
      <c r="BJ970" s="1">
        <f t="shared" si="110"/>
        <v>-996776.83455502859</v>
      </c>
      <c r="BK970" s="1">
        <f t="shared" si="111"/>
        <v>-1061527.4224363526</v>
      </c>
      <c r="BL970" s="26">
        <f t="shared" si="106"/>
        <v>0</v>
      </c>
      <c r="BM970" s="26">
        <f t="shared" si="105"/>
        <v>0</v>
      </c>
      <c r="BN970">
        <f t="shared" si="107"/>
        <v>80.666666666666444</v>
      </c>
      <c r="BO970">
        <f t="shared" si="108"/>
        <v>80.666666666666444</v>
      </c>
    </row>
    <row r="971" spans="61:67" x14ac:dyDescent="0.25">
      <c r="BI971" s="2">
        <f t="shared" si="109"/>
        <v>80.749999999999773</v>
      </c>
      <c r="BJ971" s="1">
        <f t="shared" si="110"/>
        <v>-1000223.3737457356</v>
      </c>
      <c r="BK971" s="1">
        <f t="shared" si="111"/>
        <v>-1065143.9319202481</v>
      </c>
      <c r="BL971" s="26">
        <f t="shared" si="106"/>
        <v>0</v>
      </c>
      <c r="BM971" s="26">
        <f t="shared" si="105"/>
        <v>0</v>
      </c>
      <c r="BN971">
        <f t="shared" si="107"/>
        <v>80.749999999999773</v>
      </c>
      <c r="BO971">
        <f t="shared" si="108"/>
        <v>80.749999999999773</v>
      </c>
    </row>
    <row r="972" spans="61:67" x14ac:dyDescent="0.25">
      <c r="BI972" s="2">
        <f t="shared" si="109"/>
        <v>80.833333333333101</v>
      </c>
      <c r="BJ972" s="1">
        <f t="shared" si="110"/>
        <v>-1003678.9601018183</v>
      </c>
      <c r="BK972" s="1">
        <f t="shared" si="111"/>
        <v>-1068769.9347415389</v>
      </c>
      <c r="BL972" s="26">
        <f t="shared" si="106"/>
        <v>0</v>
      </c>
      <c r="BM972" s="26">
        <f t="shared" si="105"/>
        <v>0</v>
      </c>
      <c r="BN972">
        <f t="shared" si="107"/>
        <v>80.833333333333101</v>
      </c>
      <c r="BO972">
        <f t="shared" si="108"/>
        <v>80.833333333333101</v>
      </c>
    </row>
    <row r="973" spans="61:67" x14ac:dyDescent="0.25">
      <c r="BI973" s="2">
        <f t="shared" si="109"/>
        <v>80.91666666666643</v>
      </c>
      <c r="BJ973" s="1">
        <f t="shared" si="110"/>
        <v>-1007143.6173720857</v>
      </c>
      <c r="BK973" s="1">
        <f t="shared" si="111"/>
        <v>-1072405.4558202357</v>
      </c>
      <c r="BL973" s="26">
        <f t="shared" si="106"/>
        <v>0</v>
      </c>
      <c r="BM973" s="26">
        <f t="shared" si="105"/>
        <v>0</v>
      </c>
      <c r="BN973">
        <f t="shared" si="107"/>
        <v>80.91666666666643</v>
      </c>
      <c r="BO973">
        <f t="shared" si="108"/>
        <v>80.91666666666643</v>
      </c>
    </row>
    <row r="974" spans="61:67" x14ac:dyDescent="0.25">
      <c r="BI974" s="2">
        <f t="shared" si="109"/>
        <v>80.999999999999758</v>
      </c>
      <c r="BJ974" s="1">
        <f t="shared" si="110"/>
        <v>-1010617.3693676875</v>
      </c>
      <c r="BK974" s="1">
        <f t="shared" si="111"/>
        <v>-1076050.5201417638</v>
      </c>
      <c r="BL974" s="26">
        <f t="shared" si="106"/>
        <v>0</v>
      </c>
      <c r="BM974" s="26">
        <f t="shared" si="105"/>
        <v>0</v>
      </c>
      <c r="BN974">
        <f t="shared" si="107"/>
        <v>80.999999999999758</v>
      </c>
      <c r="BO974">
        <f t="shared" si="108"/>
        <v>80.999999999999758</v>
      </c>
    </row>
    <row r="975" spans="61:67" x14ac:dyDescent="0.25">
      <c r="BI975" s="2">
        <f t="shared" si="109"/>
        <v>81.083333333333087</v>
      </c>
      <c r="BJ975" s="1">
        <f t="shared" si="110"/>
        <v>-1014100.2399622778</v>
      </c>
      <c r="BK975" s="1">
        <f t="shared" si="111"/>
        <v>-1079705.1527571362</v>
      </c>
      <c r="BL975" s="26">
        <f t="shared" si="106"/>
        <v>0</v>
      </c>
      <c r="BM975" s="26">
        <f t="shared" si="105"/>
        <v>0</v>
      </c>
      <c r="BN975">
        <f t="shared" si="107"/>
        <v>81.083333333333087</v>
      </c>
      <c r="BO975">
        <f t="shared" si="108"/>
        <v>81.083333333333087</v>
      </c>
    </row>
    <row r="976" spans="61:67" x14ac:dyDescent="0.25">
      <c r="BI976" s="2">
        <f t="shared" si="109"/>
        <v>81.166666666666416</v>
      </c>
      <c r="BJ976" s="1">
        <f t="shared" si="110"/>
        <v>-1017592.2530921788</v>
      </c>
      <c r="BK976" s="1">
        <f t="shared" si="111"/>
        <v>-1083369.3787831238</v>
      </c>
      <c r="BL976" s="26">
        <f t="shared" si="106"/>
        <v>0</v>
      </c>
      <c r="BM976" s="26">
        <f t="shared" si="105"/>
        <v>0</v>
      </c>
      <c r="BN976">
        <f t="shared" si="107"/>
        <v>81.166666666666416</v>
      </c>
      <c r="BO976">
        <f t="shared" si="108"/>
        <v>81.166666666666416</v>
      </c>
    </row>
    <row r="977" spans="61:67" x14ac:dyDescent="0.25">
      <c r="BI977" s="2">
        <f t="shared" si="109"/>
        <v>81.249999999999744</v>
      </c>
      <c r="BJ977" s="1">
        <f t="shared" si="110"/>
        <v>-1021093.432756546</v>
      </c>
      <c r="BK977" s="1">
        <f t="shared" si="111"/>
        <v>-1087043.2234024296</v>
      </c>
      <c r="BL977" s="26">
        <f t="shared" si="106"/>
        <v>0</v>
      </c>
      <c r="BM977" s="26">
        <f t="shared" si="105"/>
        <v>0</v>
      </c>
      <c r="BN977">
        <f t="shared" si="107"/>
        <v>81.249999999999744</v>
      </c>
      <c r="BO977">
        <f t="shared" si="108"/>
        <v>81.249999999999744</v>
      </c>
    </row>
    <row r="978" spans="61:67" x14ac:dyDescent="0.25">
      <c r="BI978" s="2">
        <f t="shared" si="109"/>
        <v>81.333333333333073</v>
      </c>
      <c r="BJ978" s="1">
        <f t="shared" si="110"/>
        <v>-1024603.803017532</v>
      </c>
      <c r="BK978" s="1">
        <f t="shared" si="111"/>
        <v>-1090726.7118638612</v>
      </c>
      <c r="BL978" s="26">
        <f t="shared" si="106"/>
        <v>0</v>
      </c>
      <c r="BM978" s="26">
        <f t="shared" si="105"/>
        <v>0</v>
      </c>
      <c r="BN978">
        <f t="shared" si="107"/>
        <v>81.333333333333073</v>
      </c>
      <c r="BO978">
        <f t="shared" si="108"/>
        <v>81.333333333333073</v>
      </c>
    </row>
    <row r="979" spans="61:67" x14ac:dyDescent="0.25">
      <c r="BI979" s="2">
        <f t="shared" si="109"/>
        <v>81.416666666666401</v>
      </c>
      <c r="BJ979" s="1">
        <f t="shared" si="110"/>
        <v>-1028123.3880004531</v>
      </c>
      <c r="BK979" s="1">
        <f t="shared" si="111"/>
        <v>-1094419.869482504</v>
      </c>
      <c r="BL979" s="26">
        <f t="shared" si="106"/>
        <v>0</v>
      </c>
      <c r="BM979" s="26">
        <f t="shared" si="105"/>
        <v>0</v>
      </c>
      <c r="BN979">
        <f t="shared" si="107"/>
        <v>81.416666666666401</v>
      </c>
      <c r="BO979">
        <f t="shared" si="108"/>
        <v>81.416666666666401</v>
      </c>
    </row>
    <row r="980" spans="61:67" x14ac:dyDescent="0.25">
      <c r="BI980" s="2">
        <f t="shared" si="109"/>
        <v>81.49999999999973</v>
      </c>
      <c r="BJ980" s="1">
        <f t="shared" si="110"/>
        <v>-1031652.2118939544</v>
      </c>
      <c r="BK980" s="1">
        <f t="shared" si="111"/>
        <v>-1098122.7216398956</v>
      </c>
      <c r="BL980" s="26">
        <f t="shared" si="106"/>
        <v>0</v>
      </c>
      <c r="BM980" s="26">
        <f t="shared" si="105"/>
        <v>0</v>
      </c>
      <c r="BN980">
        <f t="shared" si="107"/>
        <v>81.49999999999973</v>
      </c>
      <c r="BO980">
        <f t="shared" si="108"/>
        <v>81.49999999999973</v>
      </c>
    </row>
    <row r="981" spans="61:67" x14ac:dyDescent="0.25">
      <c r="BI981" s="2">
        <f t="shared" si="109"/>
        <v>81.583333333333059</v>
      </c>
      <c r="BJ981" s="1">
        <f t="shared" si="110"/>
        <v>-1035190.2989501762</v>
      </c>
      <c r="BK981" s="1">
        <f t="shared" si="111"/>
        <v>-1101835.2937842004</v>
      </c>
      <c r="BL981" s="26">
        <f t="shared" si="106"/>
        <v>0</v>
      </c>
      <c r="BM981" s="26">
        <f t="shared" si="105"/>
        <v>0</v>
      </c>
      <c r="BN981">
        <f t="shared" si="107"/>
        <v>81.583333333333059</v>
      </c>
      <c r="BO981">
        <f t="shared" si="108"/>
        <v>81.583333333333059</v>
      </c>
    </row>
    <row r="982" spans="61:67" x14ac:dyDescent="0.25">
      <c r="BI982" s="2">
        <f t="shared" si="109"/>
        <v>81.666666666666387</v>
      </c>
      <c r="BJ982" s="1">
        <f t="shared" si="110"/>
        <v>-1038737.6734849205</v>
      </c>
      <c r="BK982" s="1">
        <f t="shared" si="111"/>
        <v>-1105557.611430384</v>
      </c>
      <c r="BL982" s="26">
        <f t="shared" si="106"/>
        <v>0</v>
      </c>
      <c r="BM982" s="26">
        <f t="shared" si="105"/>
        <v>0</v>
      </c>
      <c r="BN982">
        <f t="shared" si="107"/>
        <v>81.666666666666387</v>
      </c>
      <c r="BO982">
        <f t="shared" si="108"/>
        <v>81.666666666666387</v>
      </c>
    </row>
    <row r="983" spans="61:67" x14ac:dyDescent="0.25">
      <c r="BI983" s="2">
        <f t="shared" si="109"/>
        <v>81.749999999999716</v>
      </c>
      <c r="BJ983" s="1">
        <f t="shared" si="110"/>
        <v>-1042294.3598778185</v>
      </c>
      <c r="BK983" s="1">
        <f t="shared" si="111"/>
        <v>-1109289.7001603888</v>
      </c>
      <c r="BL983" s="26">
        <f t="shared" si="106"/>
        <v>0</v>
      </c>
      <c r="BM983" s="26">
        <f t="shared" si="105"/>
        <v>0</v>
      </c>
      <c r="BN983">
        <f t="shared" si="107"/>
        <v>81.749999999999716</v>
      </c>
      <c r="BO983">
        <f t="shared" si="108"/>
        <v>81.749999999999716</v>
      </c>
    </row>
    <row r="984" spans="61:67" x14ac:dyDescent="0.25">
      <c r="BI984" s="2">
        <f t="shared" si="109"/>
        <v>81.833333333333044</v>
      </c>
      <c r="BJ984" s="1">
        <f t="shared" si="110"/>
        <v>-1045860.3825724978</v>
      </c>
      <c r="BK984" s="1">
        <f t="shared" si="111"/>
        <v>-1113031.5856233099</v>
      </c>
      <c r="BL984" s="26">
        <f t="shared" si="106"/>
        <v>0</v>
      </c>
      <c r="BM984" s="26">
        <f t="shared" si="105"/>
        <v>0</v>
      </c>
      <c r="BN984">
        <f t="shared" si="107"/>
        <v>81.833333333333044</v>
      </c>
      <c r="BO984">
        <f t="shared" si="108"/>
        <v>81.833333333333044</v>
      </c>
    </row>
    <row r="985" spans="61:67" x14ac:dyDescent="0.25">
      <c r="BI985" s="2">
        <f t="shared" si="109"/>
        <v>81.916666666666373</v>
      </c>
      <c r="BJ985" s="1">
        <f t="shared" si="110"/>
        <v>-1049435.7660767508</v>
      </c>
      <c r="BK985" s="1">
        <f t="shared" si="111"/>
        <v>-1116783.2935355713</v>
      </c>
      <c r="BL985" s="26">
        <f t="shared" si="106"/>
        <v>0</v>
      </c>
      <c r="BM985" s="26">
        <f t="shared" si="105"/>
        <v>0</v>
      </c>
      <c r="BN985">
        <f t="shared" si="107"/>
        <v>81.916666666666373</v>
      </c>
      <c r="BO985">
        <f t="shared" si="108"/>
        <v>81.916666666666373</v>
      </c>
    </row>
    <row r="986" spans="61:67" x14ac:dyDescent="0.25">
      <c r="BI986" s="2">
        <f t="shared" si="109"/>
        <v>81.999999999999702</v>
      </c>
      <c r="BJ986" s="1">
        <f t="shared" si="110"/>
        <v>-1053020.5349627023</v>
      </c>
      <c r="BK986" s="1">
        <f t="shared" si="111"/>
        <v>-1120544.8496811022</v>
      </c>
      <c r="BL986" s="26">
        <f t="shared" si="106"/>
        <v>0</v>
      </c>
      <c r="BM986" s="26">
        <f t="shared" si="105"/>
        <v>0</v>
      </c>
      <c r="BN986">
        <f t="shared" si="107"/>
        <v>81.999999999999702</v>
      </c>
      <c r="BO986">
        <f t="shared" si="108"/>
        <v>81.999999999999702</v>
      </c>
    </row>
    <row r="987" spans="61:67" x14ac:dyDescent="0.25">
      <c r="BI987" s="2">
        <f t="shared" si="109"/>
        <v>82.08333333333303</v>
      </c>
      <c r="BJ987" s="1">
        <f t="shared" si="110"/>
        <v>-1056614.7138669796</v>
      </c>
      <c r="BK987" s="1">
        <f t="shared" si="111"/>
        <v>-1124316.2799115153</v>
      </c>
      <c r="BL987" s="26">
        <f t="shared" si="106"/>
        <v>0</v>
      </c>
      <c r="BM987" s="26">
        <f t="shared" ref="BM987:BM1050" si="112">IF(AND(BL987&gt;0,BK987&gt;0),1,0)</f>
        <v>0</v>
      </c>
      <c r="BN987">
        <f t="shared" si="107"/>
        <v>82.08333333333303</v>
      </c>
      <c r="BO987">
        <f t="shared" si="108"/>
        <v>82.08333333333303</v>
      </c>
    </row>
    <row r="988" spans="61:67" x14ac:dyDescent="0.25">
      <c r="BI988" s="2">
        <f t="shared" si="109"/>
        <v>82.166666666666359</v>
      </c>
      <c r="BJ988" s="1">
        <f t="shared" si="110"/>
        <v>-1060218.3274908806</v>
      </c>
      <c r="BK988" s="1">
        <f t="shared" si="111"/>
        <v>-1128097.6101462832</v>
      </c>
      <c r="BL988" s="26">
        <f t="shared" si="106"/>
        <v>0</v>
      </c>
      <c r="BM988" s="26">
        <f t="shared" si="112"/>
        <v>0</v>
      </c>
      <c r="BN988">
        <f t="shared" si="107"/>
        <v>82.166666666666359</v>
      </c>
      <c r="BO988">
        <f t="shared" si="108"/>
        <v>82.166666666666359</v>
      </c>
    </row>
    <row r="989" spans="61:67" x14ac:dyDescent="0.25">
      <c r="BI989" s="2">
        <f t="shared" si="109"/>
        <v>82.249999999999687</v>
      </c>
      <c r="BJ989" s="1">
        <f t="shared" si="110"/>
        <v>-1063831.4006005442</v>
      </c>
      <c r="BK989" s="1">
        <f t="shared" si="111"/>
        <v>-1131888.8663729173</v>
      </c>
      <c r="BL989" s="26">
        <f t="shared" si="106"/>
        <v>0</v>
      </c>
      <c r="BM989" s="26">
        <f t="shared" si="112"/>
        <v>0</v>
      </c>
      <c r="BN989">
        <f t="shared" si="107"/>
        <v>82.249999999999687</v>
      </c>
      <c r="BO989">
        <f t="shared" si="108"/>
        <v>82.249999999999687</v>
      </c>
    </row>
    <row r="990" spans="61:67" x14ac:dyDescent="0.25">
      <c r="BI990" s="2">
        <f t="shared" si="109"/>
        <v>82.333333333333016</v>
      </c>
      <c r="BJ990" s="1">
        <f t="shared" si="110"/>
        <v>-1067453.9580271207</v>
      </c>
      <c r="BK990" s="1">
        <f t="shared" si="111"/>
        <v>-1135690.0746471463</v>
      </c>
      <c r="BL990" s="26">
        <f t="shared" si="106"/>
        <v>0</v>
      </c>
      <c r="BM990" s="26">
        <f t="shared" si="112"/>
        <v>0</v>
      </c>
      <c r="BN990">
        <f t="shared" si="107"/>
        <v>82.333333333333016</v>
      </c>
      <c r="BO990">
        <f t="shared" si="108"/>
        <v>82.333333333333016</v>
      </c>
    </row>
    <row r="991" spans="61:67" x14ac:dyDescent="0.25">
      <c r="BI991" s="2">
        <f t="shared" si="109"/>
        <v>82.416666666666345</v>
      </c>
      <c r="BJ991" s="1">
        <f t="shared" si="110"/>
        <v>-1071086.024666942</v>
      </c>
      <c r="BK991" s="1">
        <f t="shared" si="111"/>
        <v>-1139501.2610930952</v>
      </c>
      <c r="BL991" s="26">
        <f t="shared" si="106"/>
        <v>0</v>
      </c>
      <c r="BM991" s="26">
        <f t="shared" si="112"/>
        <v>0</v>
      </c>
      <c r="BN991">
        <f t="shared" si="107"/>
        <v>82.416666666666345</v>
      </c>
      <c r="BO991">
        <f t="shared" si="108"/>
        <v>82.416666666666345</v>
      </c>
    </row>
    <row r="992" spans="61:67" x14ac:dyDescent="0.25">
      <c r="BI992" s="2">
        <f t="shared" si="109"/>
        <v>82.499999999999673</v>
      </c>
      <c r="BJ992" s="1">
        <f t="shared" si="110"/>
        <v>-1074727.6254816928</v>
      </c>
      <c r="BK992" s="1">
        <f t="shared" si="111"/>
        <v>-1143322.4519034647</v>
      </c>
      <c r="BL992" s="26">
        <f t="shared" si="106"/>
        <v>0</v>
      </c>
      <c r="BM992" s="26">
        <f t="shared" si="112"/>
        <v>0</v>
      </c>
      <c r="BN992">
        <f t="shared" si="107"/>
        <v>82.499999999999673</v>
      </c>
      <c r="BO992">
        <f t="shared" si="108"/>
        <v>82.499999999999673</v>
      </c>
    </row>
    <row r="993" spans="61:67" x14ac:dyDescent="0.25">
      <c r="BI993" s="2">
        <f t="shared" si="109"/>
        <v>82.583333333333002</v>
      </c>
      <c r="BJ993" s="1">
        <f t="shared" si="110"/>
        <v>-1078378.7854985823</v>
      </c>
      <c r="BK993" s="1">
        <f t="shared" si="111"/>
        <v>-1147153.6733397115</v>
      </c>
      <c r="BL993" s="26">
        <f t="shared" si="106"/>
        <v>0</v>
      </c>
      <c r="BM993" s="26">
        <f t="shared" si="112"/>
        <v>0</v>
      </c>
      <c r="BN993">
        <f t="shared" si="107"/>
        <v>82.583333333333002</v>
      </c>
      <c r="BO993">
        <f t="shared" si="108"/>
        <v>82.583333333333002</v>
      </c>
    </row>
    <row r="994" spans="61:67" x14ac:dyDescent="0.25">
      <c r="BI994" s="2">
        <f t="shared" si="109"/>
        <v>82.66666666666633</v>
      </c>
      <c r="BJ994" s="1">
        <f t="shared" si="110"/>
        <v>-1082039.5298105162</v>
      </c>
      <c r="BK994" s="1">
        <f t="shared" si="111"/>
        <v>-1150994.9517322283</v>
      </c>
      <c r="BL994" s="26">
        <f t="shared" si="106"/>
        <v>0</v>
      </c>
      <c r="BM994" s="26">
        <f t="shared" si="112"/>
        <v>0</v>
      </c>
      <c r="BN994">
        <f t="shared" si="107"/>
        <v>82.66666666666633</v>
      </c>
      <c r="BO994">
        <f t="shared" si="108"/>
        <v>82.66666666666633</v>
      </c>
    </row>
    <row r="995" spans="61:67" x14ac:dyDescent="0.25">
      <c r="BI995" s="2">
        <f t="shared" si="109"/>
        <v>82.749999999999659</v>
      </c>
      <c r="BJ995" s="1">
        <f t="shared" si="110"/>
        <v>-1085709.8835762688</v>
      </c>
      <c r="BK995" s="1">
        <f t="shared" si="111"/>
        <v>-1154846.3134805255</v>
      </c>
      <c r="BL995" s="26">
        <f t="shared" si="106"/>
        <v>0</v>
      </c>
      <c r="BM995" s="26">
        <f t="shared" si="112"/>
        <v>0</v>
      </c>
      <c r="BN995">
        <f t="shared" si="107"/>
        <v>82.749999999999659</v>
      </c>
      <c r="BO995">
        <f t="shared" si="108"/>
        <v>82.749999999999659</v>
      </c>
    </row>
    <row r="996" spans="61:67" x14ac:dyDescent="0.25">
      <c r="BI996" s="2">
        <f t="shared" si="109"/>
        <v>82.833333333332988</v>
      </c>
      <c r="BJ996" s="1">
        <f t="shared" si="110"/>
        <v>-1089389.8720206567</v>
      </c>
      <c r="BK996" s="1">
        <f t="shared" si="111"/>
        <v>-1158707.785053412</v>
      </c>
      <c r="BL996" s="26">
        <f t="shared" si="106"/>
        <v>0</v>
      </c>
      <c r="BM996" s="26">
        <f t="shared" si="112"/>
        <v>0</v>
      </c>
      <c r="BN996">
        <f t="shared" si="107"/>
        <v>82.833333333332988</v>
      </c>
      <c r="BO996">
        <f t="shared" si="108"/>
        <v>82.833333333332988</v>
      </c>
    </row>
    <row r="997" spans="61:67" x14ac:dyDescent="0.25">
      <c r="BI997" s="2">
        <f t="shared" si="109"/>
        <v>82.916666666666316</v>
      </c>
      <c r="BJ997" s="1">
        <f t="shared" si="110"/>
        <v>-1093079.5204347111</v>
      </c>
      <c r="BK997" s="1">
        <f t="shared" si="111"/>
        <v>-1162579.3929891773</v>
      </c>
      <c r="BL997" s="26">
        <f t="shared" si="106"/>
        <v>0</v>
      </c>
      <c r="BM997" s="26">
        <f t="shared" si="112"/>
        <v>0</v>
      </c>
      <c r="BN997">
        <f t="shared" si="107"/>
        <v>82.916666666666316</v>
      </c>
      <c r="BO997">
        <f t="shared" si="108"/>
        <v>82.916666666666316</v>
      </c>
    </row>
    <row r="998" spans="61:67" x14ac:dyDescent="0.25">
      <c r="BI998" s="2">
        <f t="shared" si="109"/>
        <v>82.999999999999645</v>
      </c>
      <c r="BJ998" s="1">
        <f t="shared" si="110"/>
        <v>-1096778.8541758524</v>
      </c>
      <c r="BK998" s="1">
        <f t="shared" si="111"/>
        <v>-1166461.1638957739</v>
      </c>
      <c r="BL998" s="26">
        <f t="shared" si="106"/>
        <v>0</v>
      </c>
      <c r="BM998" s="26">
        <f t="shared" si="112"/>
        <v>0</v>
      </c>
      <c r="BN998">
        <f t="shared" si="107"/>
        <v>82.999999999999645</v>
      </c>
      <c r="BO998">
        <f t="shared" si="108"/>
        <v>82.999999999999645</v>
      </c>
    </row>
    <row r="999" spans="61:67" x14ac:dyDescent="0.25">
      <c r="BI999" s="2">
        <f t="shared" si="109"/>
        <v>83.083333333332973</v>
      </c>
      <c r="BJ999" s="1">
        <f t="shared" si="110"/>
        <v>-1100487.898668064</v>
      </c>
      <c r="BK999" s="1">
        <f t="shared" si="111"/>
        <v>-1170353.1244510005</v>
      </c>
      <c r="BL999" s="26">
        <f t="shared" si="106"/>
        <v>0</v>
      </c>
      <c r="BM999" s="26">
        <f t="shared" si="112"/>
        <v>0</v>
      </c>
      <c r="BN999">
        <f t="shared" si="107"/>
        <v>83.083333333332973</v>
      </c>
      <c r="BO999">
        <f t="shared" si="108"/>
        <v>83.083333333332973</v>
      </c>
    </row>
    <row r="1000" spans="61:67" x14ac:dyDescent="0.25">
      <c r="BI1000" s="2">
        <f t="shared" si="109"/>
        <v>83.166666666666302</v>
      </c>
      <c r="BJ1000" s="1">
        <f t="shared" si="110"/>
        <v>-1104206.6794020678</v>
      </c>
      <c r="BK1000" s="1">
        <f t="shared" si="111"/>
        <v>-1174255.3014026845</v>
      </c>
      <c r="BL1000" s="26">
        <f t="shared" si="106"/>
        <v>0</v>
      </c>
      <c r="BM1000" s="26">
        <f t="shared" si="112"/>
        <v>0</v>
      </c>
      <c r="BN1000">
        <f t="shared" si="107"/>
        <v>83.166666666666302</v>
      </c>
      <c r="BO1000">
        <f t="shared" si="108"/>
        <v>83.166666666666302</v>
      </c>
    </row>
    <row r="1001" spans="61:67" x14ac:dyDescent="0.25">
      <c r="BI1001" s="2">
        <f t="shared" si="109"/>
        <v>83.249999999999631</v>
      </c>
      <c r="BJ1001" s="1">
        <f t="shared" si="110"/>
        <v>-1107935.2219354983</v>
      </c>
      <c r="BK1001" s="1">
        <f t="shared" si="111"/>
        <v>-1178167.7215688666</v>
      </c>
      <c r="BL1001" s="26">
        <f t="shared" si="106"/>
        <v>0</v>
      </c>
      <c r="BM1001" s="26">
        <f t="shared" si="112"/>
        <v>0</v>
      </c>
      <c r="BN1001">
        <f t="shared" si="107"/>
        <v>83.249999999999631</v>
      </c>
      <c r="BO1001">
        <f t="shared" si="108"/>
        <v>83.249999999999631</v>
      </c>
    </row>
    <row r="1002" spans="61:67" x14ac:dyDescent="0.25">
      <c r="BI1002" s="2">
        <f t="shared" si="109"/>
        <v>83.333333333332959</v>
      </c>
      <c r="BJ1002" s="1">
        <f t="shared" si="110"/>
        <v>-1111673.5518930792</v>
      </c>
      <c r="BK1002" s="1">
        <f t="shared" si="111"/>
        <v>-1182090.411837985</v>
      </c>
      <c r="BL1002" s="26">
        <f t="shared" si="106"/>
        <v>0</v>
      </c>
      <c r="BM1002" s="26">
        <f t="shared" si="112"/>
        <v>0</v>
      </c>
      <c r="BN1002">
        <f t="shared" si="107"/>
        <v>83.333333333332959</v>
      </c>
      <c r="BO1002">
        <f t="shared" si="108"/>
        <v>83.333333333332959</v>
      </c>
    </row>
    <row r="1003" spans="61:67" x14ac:dyDescent="0.25">
      <c r="BI1003" s="2">
        <f t="shared" si="109"/>
        <v>83.416666666666288</v>
      </c>
      <c r="BJ1003" s="1">
        <f t="shared" si="110"/>
        <v>-1115421.6949667986</v>
      </c>
      <c r="BK1003" s="1">
        <f t="shared" si="111"/>
        <v>-1186023.3991690599</v>
      </c>
      <c r="BL1003" s="26">
        <f t="shared" si="106"/>
        <v>0</v>
      </c>
      <c r="BM1003" s="26">
        <f t="shared" si="112"/>
        <v>0</v>
      </c>
      <c r="BN1003">
        <f t="shared" si="107"/>
        <v>83.416666666666288</v>
      </c>
      <c r="BO1003">
        <f t="shared" si="108"/>
        <v>83.416666666666288</v>
      </c>
    </row>
    <row r="1004" spans="61:67" x14ac:dyDescent="0.25">
      <c r="BI1004" s="2">
        <f t="shared" si="109"/>
        <v>83.499999999999616</v>
      </c>
      <c r="BJ1004" s="1">
        <f t="shared" si="110"/>
        <v>-1119179.6769160866</v>
      </c>
      <c r="BK1004" s="1">
        <f t="shared" si="111"/>
        <v>-1189966.7105918787</v>
      </c>
      <c r="BL1004" s="26">
        <f t="shared" si="106"/>
        <v>0</v>
      </c>
      <c r="BM1004" s="26">
        <f t="shared" si="112"/>
        <v>0</v>
      </c>
      <c r="BN1004">
        <f t="shared" si="107"/>
        <v>83.499999999999616</v>
      </c>
      <c r="BO1004">
        <f t="shared" si="108"/>
        <v>83.499999999999616</v>
      </c>
    </row>
    <row r="1005" spans="61:67" x14ac:dyDescent="0.25">
      <c r="BI1005" s="2">
        <f t="shared" si="109"/>
        <v>83.583333333332945</v>
      </c>
      <c r="BJ1005" s="1">
        <f t="shared" si="110"/>
        <v>-1122947.5235679913</v>
      </c>
      <c r="BK1005" s="1">
        <f t="shared" si="111"/>
        <v>-1193920.3732071826</v>
      </c>
      <c r="BL1005" s="26">
        <f t="shared" si="106"/>
        <v>0</v>
      </c>
      <c r="BM1005" s="26">
        <f t="shared" si="112"/>
        <v>0</v>
      </c>
      <c r="BN1005">
        <f t="shared" si="107"/>
        <v>83.583333333332945</v>
      </c>
      <c r="BO1005">
        <f t="shared" si="108"/>
        <v>83.583333333332945</v>
      </c>
    </row>
    <row r="1006" spans="61:67" x14ac:dyDescent="0.25">
      <c r="BI1006" s="2">
        <f t="shared" si="109"/>
        <v>83.666666666666273</v>
      </c>
      <c r="BJ1006" s="1">
        <f t="shared" si="110"/>
        <v>-1126725.2608173573</v>
      </c>
      <c r="BK1006" s="1">
        <f t="shared" si="111"/>
        <v>-1197884.4141868516</v>
      </c>
      <c r="BL1006" s="26">
        <f t="shared" si="106"/>
        <v>0</v>
      </c>
      <c r="BM1006" s="26">
        <f t="shared" si="112"/>
        <v>0</v>
      </c>
      <c r="BN1006">
        <f t="shared" si="107"/>
        <v>83.666666666666273</v>
      </c>
      <c r="BO1006">
        <f t="shared" si="108"/>
        <v>83.666666666666273</v>
      </c>
    </row>
    <row r="1007" spans="61:67" x14ac:dyDescent="0.25">
      <c r="BI1007" s="2">
        <f t="shared" si="109"/>
        <v>83.749999999999602</v>
      </c>
      <c r="BJ1007" s="1">
        <f t="shared" si="110"/>
        <v>-1130512.914627003</v>
      </c>
      <c r="BK1007" s="1">
        <f t="shared" si="111"/>
        <v>-1201858.8607740921</v>
      </c>
      <c r="BL1007" s="26">
        <f t="shared" si="106"/>
        <v>0</v>
      </c>
      <c r="BM1007" s="26">
        <f t="shared" si="112"/>
        <v>0</v>
      </c>
      <c r="BN1007">
        <f t="shared" si="107"/>
        <v>83.749999999999602</v>
      </c>
      <c r="BO1007">
        <f t="shared" si="108"/>
        <v>83.749999999999602</v>
      </c>
    </row>
    <row r="1008" spans="61:67" x14ac:dyDescent="0.25">
      <c r="BI1008" s="2">
        <f t="shared" si="109"/>
        <v>83.833333333332931</v>
      </c>
      <c r="BJ1008" s="1">
        <f t="shared" si="110"/>
        <v>-1134310.5110278991</v>
      </c>
      <c r="BK1008" s="1">
        <f t="shared" si="111"/>
        <v>-1205843.7402836243</v>
      </c>
      <c r="BL1008" s="26">
        <f t="shared" si="106"/>
        <v>0</v>
      </c>
      <c r="BM1008" s="26">
        <f t="shared" si="112"/>
        <v>0</v>
      </c>
      <c r="BN1008">
        <f t="shared" si="107"/>
        <v>83.833333333332931</v>
      </c>
      <c r="BO1008">
        <f t="shared" si="108"/>
        <v>83.833333333332931</v>
      </c>
    </row>
    <row r="1009" spans="61:67" x14ac:dyDescent="0.25">
      <c r="BI1009" s="2">
        <f t="shared" si="109"/>
        <v>83.916666666666259</v>
      </c>
      <c r="BJ1009" s="1">
        <f t="shared" si="110"/>
        <v>-1138118.0761193475</v>
      </c>
      <c r="BK1009" s="1">
        <f t="shared" si="111"/>
        <v>-1209839.0801018688</v>
      </c>
      <c r="BL1009" s="26">
        <f t="shared" si="106"/>
        <v>0</v>
      </c>
      <c r="BM1009" s="26">
        <f t="shared" si="112"/>
        <v>0</v>
      </c>
      <c r="BN1009">
        <f t="shared" si="107"/>
        <v>83.916666666666259</v>
      </c>
      <c r="BO1009">
        <f t="shared" si="108"/>
        <v>83.916666666666259</v>
      </c>
    </row>
    <row r="1010" spans="61:67" x14ac:dyDescent="0.25">
      <c r="BI1010" s="2">
        <f t="shared" si="109"/>
        <v>83.999999999999588</v>
      </c>
      <c r="BJ1010" s="1">
        <f t="shared" si="110"/>
        <v>-1141935.6360691609</v>
      </c>
      <c r="BK1010" s="1">
        <f t="shared" si="111"/>
        <v>-1213844.9076871364</v>
      </c>
      <c r="BL1010" s="26">
        <f t="shared" si="106"/>
        <v>0</v>
      </c>
      <c r="BM1010" s="26">
        <f t="shared" si="112"/>
        <v>0</v>
      </c>
      <c r="BN1010">
        <f t="shared" si="107"/>
        <v>83.999999999999588</v>
      </c>
      <c r="BO1010">
        <f t="shared" si="108"/>
        <v>83.999999999999588</v>
      </c>
    </row>
    <row r="1011" spans="61:67" x14ac:dyDescent="0.25">
      <c r="BI1011" s="2">
        <f t="shared" si="109"/>
        <v>84.083333333332916</v>
      </c>
      <c r="BJ1011" s="1">
        <f t="shared" si="110"/>
        <v>-1145763.2171138425</v>
      </c>
      <c r="BK1011" s="1">
        <f t="shared" si="111"/>
        <v>-1217861.2505698153</v>
      </c>
      <c r="BL1011" s="26">
        <f t="shared" si="106"/>
        <v>0</v>
      </c>
      <c r="BM1011" s="26">
        <f t="shared" si="112"/>
        <v>0</v>
      </c>
      <c r="BN1011">
        <f t="shared" si="107"/>
        <v>84.083333333332916</v>
      </c>
      <c r="BO1011">
        <f t="shared" si="108"/>
        <v>84.083333333332916</v>
      </c>
    </row>
    <row r="1012" spans="61:67" x14ac:dyDescent="0.25">
      <c r="BI1012" s="2">
        <f t="shared" si="109"/>
        <v>84.166666666666245</v>
      </c>
      <c r="BJ1012" s="1">
        <f t="shared" si="110"/>
        <v>-1149600.8455587665</v>
      </c>
      <c r="BK1012" s="1">
        <f t="shared" si="111"/>
        <v>-1221888.1363525612</v>
      </c>
      <c r="BL1012" s="26">
        <f t="shared" si="106"/>
        <v>0</v>
      </c>
      <c r="BM1012" s="26">
        <f t="shared" si="112"/>
        <v>0</v>
      </c>
      <c r="BN1012">
        <f t="shared" si="107"/>
        <v>84.166666666666245</v>
      </c>
      <c r="BO1012">
        <f t="shared" si="108"/>
        <v>84.166666666666245</v>
      </c>
    </row>
    <row r="1013" spans="61:67" x14ac:dyDescent="0.25">
      <c r="BI1013" s="2">
        <f t="shared" si="109"/>
        <v>84.249999999999574</v>
      </c>
      <c r="BJ1013" s="1">
        <f t="shared" si="110"/>
        <v>-1153448.5477783585</v>
      </c>
      <c r="BK1013" s="1">
        <f t="shared" si="111"/>
        <v>-1225925.5927104868</v>
      </c>
      <c r="BL1013" s="26">
        <f t="shared" si="106"/>
        <v>0</v>
      </c>
      <c r="BM1013" s="26">
        <f t="shared" si="112"/>
        <v>0</v>
      </c>
      <c r="BN1013">
        <f t="shared" si="107"/>
        <v>84.249999999999574</v>
      </c>
      <c r="BO1013">
        <f t="shared" si="108"/>
        <v>84.249999999999574</v>
      </c>
    </row>
    <row r="1014" spans="61:67" x14ac:dyDescent="0.25">
      <c r="BI1014" s="2">
        <f t="shared" si="109"/>
        <v>84.333333333332902</v>
      </c>
      <c r="BJ1014" s="1">
        <f t="shared" si="110"/>
        <v>-1157306.3502162767</v>
      </c>
      <c r="BK1014" s="1">
        <f t="shared" si="111"/>
        <v>-1229973.6473913521</v>
      </c>
      <c r="BL1014" s="26">
        <f t="shared" si="106"/>
        <v>0</v>
      </c>
      <c r="BM1014" s="26">
        <f t="shared" si="112"/>
        <v>0</v>
      </c>
      <c r="BN1014">
        <f t="shared" si="107"/>
        <v>84.333333333332902</v>
      </c>
      <c r="BO1014">
        <f t="shared" si="108"/>
        <v>84.333333333332902</v>
      </c>
    </row>
    <row r="1015" spans="61:67" x14ac:dyDescent="0.25">
      <c r="BI1015" s="2">
        <f t="shared" si="109"/>
        <v>84.416666666666231</v>
      </c>
      <c r="BJ1015" s="1">
        <f t="shared" si="110"/>
        <v>-1161174.2793855947</v>
      </c>
      <c r="BK1015" s="1">
        <f t="shared" si="111"/>
        <v>-1234032.3282157546</v>
      </c>
      <c r="BL1015" s="26">
        <f t="shared" si="106"/>
        <v>0</v>
      </c>
      <c r="BM1015" s="26">
        <f t="shared" si="112"/>
        <v>0</v>
      </c>
      <c r="BN1015">
        <f t="shared" si="107"/>
        <v>84.416666666666231</v>
      </c>
      <c r="BO1015">
        <f t="shared" si="108"/>
        <v>84.416666666666231</v>
      </c>
    </row>
    <row r="1016" spans="61:67" x14ac:dyDescent="0.25">
      <c r="BI1016" s="2">
        <f t="shared" si="109"/>
        <v>84.499999999999559</v>
      </c>
      <c r="BJ1016" s="1">
        <f t="shared" si="110"/>
        <v>-1165052.361868982</v>
      </c>
      <c r="BK1016" s="1">
        <f t="shared" si="111"/>
        <v>-1238101.6630773211</v>
      </c>
      <c r="BL1016" s="26">
        <f t="shared" si="106"/>
        <v>0</v>
      </c>
      <c r="BM1016" s="26">
        <f t="shared" si="112"/>
        <v>0</v>
      </c>
      <c r="BN1016">
        <f t="shared" si="107"/>
        <v>84.499999999999559</v>
      </c>
      <c r="BO1016">
        <f t="shared" si="108"/>
        <v>84.499999999999559</v>
      </c>
    </row>
    <row r="1017" spans="61:67" x14ac:dyDescent="0.25">
      <c r="BI1017" s="2">
        <f t="shared" si="109"/>
        <v>84.583333333332888</v>
      </c>
      <c r="BJ1017" s="1">
        <f t="shared" si="110"/>
        <v>-1168940.6243188882</v>
      </c>
      <c r="BK1017" s="1">
        <f t="shared" si="111"/>
        <v>-1242181.6799428992</v>
      </c>
      <c r="BL1017" s="26">
        <f t="shared" si="106"/>
        <v>0</v>
      </c>
      <c r="BM1017" s="26">
        <f t="shared" si="112"/>
        <v>0</v>
      </c>
      <c r="BN1017">
        <f t="shared" si="107"/>
        <v>84.583333333332888</v>
      </c>
      <c r="BO1017">
        <f t="shared" si="108"/>
        <v>84.583333333332888</v>
      </c>
    </row>
    <row r="1018" spans="61:67" x14ac:dyDescent="0.25">
      <c r="BI1018" s="2">
        <f t="shared" si="109"/>
        <v>84.666666666666217</v>
      </c>
      <c r="BJ1018" s="1">
        <f t="shared" si="110"/>
        <v>-1172839.0934577254</v>
      </c>
      <c r="BK1018" s="1">
        <f t="shared" si="111"/>
        <v>-1246272.4068527494</v>
      </c>
      <c r="BL1018" s="26">
        <f t="shared" si="106"/>
        <v>0</v>
      </c>
      <c r="BM1018" s="26">
        <f t="shared" si="112"/>
        <v>0</v>
      </c>
      <c r="BN1018">
        <f t="shared" si="107"/>
        <v>84.666666666666217</v>
      </c>
      <c r="BO1018">
        <f t="shared" si="108"/>
        <v>84.666666666666217</v>
      </c>
    </row>
    <row r="1019" spans="61:67" x14ac:dyDescent="0.25">
      <c r="BI1019" s="2">
        <f t="shared" si="109"/>
        <v>84.749999999999545</v>
      </c>
      <c r="BJ1019" s="1">
        <f t="shared" si="110"/>
        <v>-1176747.7960780519</v>
      </c>
      <c r="BK1019" s="1">
        <f t="shared" si="111"/>
        <v>-1250373.8719207379</v>
      </c>
      <c r="BL1019" s="26">
        <f t="shared" si="106"/>
        <v>0</v>
      </c>
      <c r="BM1019" s="26">
        <f t="shared" si="112"/>
        <v>0</v>
      </c>
      <c r="BN1019">
        <f t="shared" si="107"/>
        <v>84.749999999999545</v>
      </c>
      <c r="BO1019">
        <f t="shared" si="108"/>
        <v>84.749999999999545</v>
      </c>
    </row>
    <row r="1020" spans="61:67" x14ac:dyDescent="0.25">
      <c r="BI1020" s="2">
        <f t="shared" si="109"/>
        <v>84.833333333332874</v>
      </c>
      <c r="BJ1020" s="1">
        <f t="shared" si="110"/>
        <v>-1180666.7590427569</v>
      </c>
      <c r="BK1020" s="1">
        <f t="shared" si="111"/>
        <v>-1254486.10333453</v>
      </c>
      <c r="BL1020" s="26">
        <f t="shared" si="106"/>
        <v>0</v>
      </c>
      <c r="BM1020" s="26">
        <f t="shared" si="112"/>
        <v>0</v>
      </c>
      <c r="BN1020">
        <f t="shared" si="107"/>
        <v>84.833333333332874</v>
      </c>
      <c r="BO1020">
        <f t="shared" si="108"/>
        <v>84.833333333332874</v>
      </c>
    </row>
    <row r="1021" spans="61:67" x14ac:dyDescent="0.25">
      <c r="BI1021" s="2">
        <f t="shared" si="109"/>
        <v>84.916666666666202</v>
      </c>
      <c r="BJ1021" s="1">
        <f t="shared" si="110"/>
        <v>-1184596.0092852442</v>
      </c>
      <c r="BK1021" s="1">
        <f t="shared" si="111"/>
        <v>-1258609.1293557833</v>
      </c>
      <c r="BL1021" s="26">
        <f t="shared" si="106"/>
        <v>0</v>
      </c>
      <c r="BM1021" s="26">
        <f t="shared" si="112"/>
        <v>0</v>
      </c>
      <c r="BN1021">
        <f t="shared" si="107"/>
        <v>84.916666666666202</v>
      </c>
      <c r="BO1021">
        <f t="shared" si="108"/>
        <v>84.916666666666202</v>
      </c>
    </row>
    <row r="1022" spans="61:67" x14ac:dyDescent="0.25">
      <c r="BI1022" s="2">
        <f t="shared" si="109"/>
        <v>84.999999999999531</v>
      </c>
      <c r="BJ1022" s="1">
        <f t="shared" si="110"/>
        <v>-1188535.5738096181</v>
      </c>
      <c r="BK1022" s="1">
        <f t="shared" si="111"/>
        <v>-1262742.9783203425</v>
      </c>
      <c r="BL1022" s="26">
        <f t="shared" si="106"/>
        <v>0</v>
      </c>
      <c r="BM1022" s="26">
        <f t="shared" si="112"/>
        <v>0</v>
      </c>
      <c r="BN1022">
        <f t="shared" si="107"/>
        <v>84.999999999999531</v>
      </c>
      <c r="BO1022">
        <f t="shared" si="108"/>
        <v>84.999999999999531</v>
      </c>
    </row>
    <row r="1023" spans="61:67" x14ac:dyDescent="0.25">
      <c r="BI1023" s="2">
        <f t="shared" si="109"/>
        <v>85.08333333333286</v>
      </c>
      <c r="BJ1023" s="1">
        <f t="shared" si="110"/>
        <v>-1192485.4796908684</v>
      </c>
      <c r="BK1023" s="1">
        <f t="shared" si="111"/>
        <v>-1266887.6786384336</v>
      </c>
      <c r="BL1023" s="26">
        <f t="shared" si="106"/>
        <v>0</v>
      </c>
      <c r="BM1023" s="26">
        <f t="shared" si="112"/>
        <v>0</v>
      </c>
      <c r="BN1023">
        <f t="shared" si="107"/>
        <v>85.08333333333286</v>
      </c>
      <c r="BO1023">
        <f t="shared" si="108"/>
        <v>85.08333333333286</v>
      </c>
    </row>
    <row r="1024" spans="61:67" x14ac:dyDescent="0.25">
      <c r="BI1024" s="2">
        <f t="shared" si="109"/>
        <v>85.166666666666188</v>
      </c>
      <c r="BJ1024" s="1">
        <f t="shared" si="110"/>
        <v>-1196445.7540750571</v>
      </c>
      <c r="BK1024" s="1">
        <f t="shared" si="111"/>
        <v>-1271043.2587948595</v>
      </c>
      <c r="BL1024" s="26">
        <f t="shared" si="106"/>
        <v>0</v>
      </c>
      <c r="BM1024" s="26">
        <f t="shared" si="112"/>
        <v>0</v>
      </c>
      <c r="BN1024">
        <f t="shared" si="107"/>
        <v>85.166666666666188</v>
      </c>
      <c r="BO1024">
        <f t="shared" si="108"/>
        <v>85.166666666666188</v>
      </c>
    </row>
    <row r="1025" spans="61:67" x14ac:dyDescent="0.25">
      <c r="BI1025" s="2">
        <f t="shared" si="109"/>
        <v>85.249999999999517</v>
      </c>
      <c r="BJ1025" s="1">
        <f t="shared" si="110"/>
        <v>-1200416.4241795042</v>
      </c>
      <c r="BK1025" s="1">
        <f t="shared" si="111"/>
        <v>-1275209.7473491961</v>
      </c>
      <c r="BL1025" s="26">
        <f t="shared" si="106"/>
        <v>0</v>
      </c>
      <c r="BM1025" s="26">
        <f t="shared" si="112"/>
        <v>0</v>
      </c>
      <c r="BN1025">
        <f t="shared" si="107"/>
        <v>85.249999999999517</v>
      </c>
      <c r="BO1025">
        <f t="shared" si="108"/>
        <v>85.249999999999517</v>
      </c>
    </row>
    <row r="1026" spans="61:67" x14ac:dyDescent="0.25">
      <c r="BI1026" s="2">
        <f t="shared" si="109"/>
        <v>85.333333333332845</v>
      </c>
      <c r="BJ1026" s="1">
        <f t="shared" si="110"/>
        <v>-1204397.5172929754</v>
      </c>
      <c r="BK1026" s="1">
        <f t="shared" si="111"/>
        <v>-1279387.1729359878</v>
      </c>
      <c r="BL1026" s="26">
        <f t="shared" ref="BL1026:BL1089" si="113">IF(BI1026&gt;$G$12,0,1)</f>
        <v>0</v>
      </c>
      <c r="BM1026" s="26">
        <f t="shared" si="112"/>
        <v>0</v>
      </c>
      <c r="BN1026">
        <f t="shared" ref="BN1026:BN1089" si="114">IF(BK1026&lt;0,BI1026,999)</f>
        <v>85.333333333332845</v>
      </c>
      <c r="BO1026">
        <f t="shared" ref="BO1026:BO1089" si="115">IF(BJ1026&lt;0,BI1026,999)</f>
        <v>85.333333333332845</v>
      </c>
    </row>
    <row r="1027" spans="61:67" x14ac:dyDescent="0.25">
      <c r="BI1027" s="2">
        <f t="shared" ref="BI1027:BI1090" si="116">BI1026+1/12</f>
        <v>85.416666666666174</v>
      </c>
      <c r="BJ1027" s="1">
        <f t="shared" ref="BJ1027:BJ1090" si="117">BJ1026*(1+$C$4/12) - $C$3</f>
        <v>-1208389.0607758695</v>
      </c>
      <c r="BK1027" s="1">
        <f t="shared" si="111"/>
        <v>-1283575.564264945</v>
      </c>
      <c r="BL1027" s="26">
        <f t="shared" si="113"/>
        <v>0</v>
      </c>
      <c r="BM1027" s="26">
        <f t="shared" si="112"/>
        <v>0</v>
      </c>
      <c r="BN1027">
        <f t="shared" si="114"/>
        <v>85.416666666666174</v>
      </c>
      <c r="BO1027">
        <f t="shared" si="115"/>
        <v>85.416666666666174</v>
      </c>
    </row>
    <row r="1028" spans="61:67" x14ac:dyDescent="0.25">
      <c r="BI1028" s="2">
        <f t="shared" si="116"/>
        <v>85.499999999999503</v>
      </c>
      <c r="BJ1028" s="1">
        <f t="shared" si="117"/>
        <v>-1212391.0820604062</v>
      </c>
      <c r="BK1028" s="1">
        <f t="shared" ref="BK1028:BK1091" si="118">BK1027*(1+$D$4/12)-$C$3-($D$3-$C$3)*BL1028</f>
        <v>-1287774.9501211406</v>
      </c>
      <c r="BL1028" s="26">
        <f t="shared" si="113"/>
        <v>0</v>
      </c>
      <c r="BM1028" s="26">
        <f t="shared" si="112"/>
        <v>0</v>
      </c>
      <c r="BN1028">
        <f t="shared" si="114"/>
        <v>85.499999999999503</v>
      </c>
      <c r="BO1028">
        <f t="shared" si="115"/>
        <v>85.499999999999503</v>
      </c>
    </row>
    <row r="1029" spans="61:67" x14ac:dyDescent="0.25">
      <c r="BI1029" s="2">
        <f t="shared" si="116"/>
        <v>85.583333333332831</v>
      </c>
      <c r="BJ1029" s="1">
        <f t="shared" si="117"/>
        <v>-1216403.608650815</v>
      </c>
      <c r="BK1029" s="1">
        <f t="shared" si="118"/>
        <v>-1291985.3593652088</v>
      </c>
      <c r="BL1029" s="26">
        <f t="shared" si="113"/>
        <v>0</v>
      </c>
      <c r="BM1029" s="26">
        <f t="shared" si="112"/>
        <v>0</v>
      </c>
      <c r="BN1029">
        <f t="shared" si="114"/>
        <v>85.583333333332831</v>
      </c>
      <c r="BO1029">
        <f t="shared" si="115"/>
        <v>85.583333333332831</v>
      </c>
    </row>
    <row r="1030" spans="61:67" x14ac:dyDescent="0.25">
      <c r="BI1030" s="2">
        <f t="shared" si="116"/>
        <v>85.66666666666616</v>
      </c>
      <c r="BJ1030" s="1">
        <f t="shared" si="117"/>
        <v>-1220426.6681235235</v>
      </c>
      <c r="BK1030" s="1">
        <f t="shared" si="118"/>
        <v>-1296206.8209335427</v>
      </c>
      <c r="BL1030" s="26">
        <f t="shared" si="113"/>
        <v>0</v>
      </c>
      <c r="BM1030" s="26">
        <f t="shared" si="112"/>
        <v>0</v>
      </c>
      <c r="BN1030">
        <f t="shared" si="114"/>
        <v>85.66666666666616</v>
      </c>
      <c r="BO1030">
        <f t="shared" si="115"/>
        <v>85.66666666666616</v>
      </c>
    </row>
    <row r="1031" spans="61:67" x14ac:dyDescent="0.25">
      <c r="BI1031" s="2">
        <f t="shared" si="116"/>
        <v>85.749999999999488</v>
      </c>
      <c r="BJ1031" s="1">
        <f t="shared" si="117"/>
        <v>-1224460.2881273478</v>
      </c>
      <c r="BK1031" s="1">
        <f t="shared" si="118"/>
        <v>-1300439.3638384934</v>
      </c>
      <c r="BL1031" s="26">
        <f t="shared" si="113"/>
        <v>0</v>
      </c>
      <c r="BM1031" s="26">
        <f t="shared" si="112"/>
        <v>0</v>
      </c>
      <c r="BN1031">
        <f t="shared" si="114"/>
        <v>85.749999999999488</v>
      </c>
      <c r="BO1031">
        <f t="shared" si="115"/>
        <v>85.749999999999488</v>
      </c>
    </row>
    <row r="1032" spans="61:67" x14ac:dyDescent="0.25">
      <c r="BI1032" s="2">
        <f t="shared" si="116"/>
        <v>85.833333333332817</v>
      </c>
      <c r="BJ1032" s="1">
        <f t="shared" si="117"/>
        <v>-1228504.4963836821</v>
      </c>
      <c r="BK1032" s="1">
        <f t="shared" si="118"/>
        <v>-1304683.0171685696</v>
      </c>
      <c r="BL1032" s="26">
        <f t="shared" si="113"/>
        <v>0</v>
      </c>
      <c r="BM1032" s="26">
        <f t="shared" si="112"/>
        <v>0</v>
      </c>
      <c r="BN1032">
        <f t="shared" si="114"/>
        <v>85.833333333332817</v>
      </c>
      <c r="BO1032">
        <f t="shared" si="115"/>
        <v>85.833333333332817</v>
      </c>
    </row>
    <row r="1033" spans="61:67" x14ac:dyDescent="0.25">
      <c r="BI1033" s="2">
        <f t="shared" si="116"/>
        <v>85.916666666666146</v>
      </c>
      <c r="BJ1033" s="1">
        <f t="shared" si="117"/>
        <v>-1232559.3206866893</v>
      </c>
      <c r="BK1033" s="1">
        <f t="shared" si="118"/>
        <v>-1308937.8100886373</v>
      </c>
      <c r="BL1033" s="26">
        <f t="shared" si="113"/>
        <v>0</v>
      </c>
      <c r="BM1033" s="26">
        <f t="shared" si="112"/>
        <v>0</v>
      </c>
      <c r="BN1033">
        <f t="shared" si="114"/>
        <v>85.916666666666146</v>
      </c>
      <c r="BO1033">
        <f t="shared" si="115"/>
        <v>85.916666666666146</v>
      </c>
    </row>
    <row r="1034" spans="61:67" x14ac:dyDescent="0.25">
      <c r="BI1034" s="2">
        <f t="shared" si="116"/>
        <v>85.999999999999474</v>
      </c>
      <c r="BJ1034" s="1">
        <f t="shared" si="117"/>
        <v>-1236624.788903492</v>
      </c>
      <c r="BK1034" s="1">
        <f t="shared" si="118"/>
        <v>-1313203.7718401202</v>
      </c>
      <c r="BL1034" s="26">
        <f t="shared" si="113"/>
        <v>0</v>
      </c>
      <c r="BM1034" s="26">
        <f t="shared" si="112"/>
        <v>0</v>
      </c>
      <c r="BN1034">
        <f t="shared" si="114"/>
        <v>85.999999999999474</v>
      </c>
      <c r="BO1034">
        <f t="shared" si="115"/>
        <v>85.999999999999474</v>
      </c>
    </row>
    <row r="1035" spans="61:67" x14ac:dyDescent="0.25">
      <c r="BI1035" s="2">
        <f t="shared" si="116"/>
        <v>86.083333333332803</v>
      </c>
      <c r="BJ1035" s="1">
        <f t="shared" si="117"/>
        <v>-1240700.9289743637</v>
      </c>
      <c r="BK1035" s="1">
        <f t="shared" si="118"/>
        <v>-1317480.9317412006</v>
      </c>
      <c r="BL1035" s="26">
        <f t="shared" si="113"/>
        <v>0</v>
      </c>
      <c r="BM1035" s="26">
        <f t="shared" si="112"/>
        <v>0</v>
      </c>
      <c r="BN1035">
        <f t="shared" si="114"/>
        <v>86.083333333332803</v>
      </c>
      <c r="BO1035">
        <f t="shared" si="115"/>
        <v>86.083333333332803</v>
      </c>
    </row>
    <row r="1036" spans="61:67" x14ac:dyDescent="0.25">
      <c r="BI1036" s="2">
        <f t="shared" si="116"/>
        <v>86.166666666666131</v>
      </c>
      <c r="BJ1036" s="1">
        <f t="shared" si="117"/>
        <v>-1244787.7689129217</v>
      </c>
      <c r="BK1036" s="1">
        <f t="shared" si="118"/>
        <v>-1321769.3191870213</v>
      </c>
      <c r="BL1036" s="26">
        <f t="shared" si="113"/>
        <v>0</v>
      </c>
      <c r="BM1036" s="26">
        <f t="shared" si="112"/>
        <v>0</v>
      </c>
      <c r="BN1036">
        <f t="shared" si="114"/>
        <v>86.166666666666131</v>
      </c>
      <c r="BO1036">
        <f t="shared" si="115"/>
        <v>86.166666666666131</v>
      </c>
    </row>
    <row r="1037" spans="61:67" x14ac:dyDescent="0.25">
      <c r="BI1037" s="2">
        <f t="shared" si="116"/>
        <v>86.24999999999946</v>
      </c>
      <c r="BJ1037" s="1">
        <f t="shared" si="117"/>
        <v>-1248885.3368063183</v>
      </c>
      <c r="BK1037" s="1">
        <f t="shared" si="118"/>
        <v>-1326068.9636498874</v>
      </c>
      <c r="BL1037" s="26">
        <f t="shared" si="113"/>
        <v>0</v>
      </c>
      <c r="BM1037" s="26">
        <f t="shared" si="112"/>
        <v>0</v>
      </c>
      <c r="BN1037">
        <f t="shared" si="114"/>
        <v>86.24999999999946</v>
      </c>
      <c r="BO1037">
        <f t="shared" si="115"/>
        <v>86.24999999999946</v>
      </c>
    </row>
    <row r="1038" spans="61:67" x14ac:dyDescent="0.25">
      <c r="BI1038" s="2">
        <f t="shared" si="116"/>
        <v>86.333333333332789</v>
      </c>
      <c r="BJ1038" s="1">
        <f t="shared" si="117"/>
        <v>-1252993.660815435</v>
      </c>
      <c r="BK1038" s="1">
        <f t="shared" si="118"/>
        <v>-1330379.8946794684</v>
      </c>
      <c r="BL1038" s="26">
        <f t="shared" si="113"/>
        <v>0</v>
      </c>
      <c r="BM1038" s="26">
        <f t="shared" si="112"/>
        <v>0</v>
      </c>
      <c r="BN1038">
        <f t="shared" si="114"/>
        <v>86.333333333332789</v>
      </c>
      <c r="BO1038">
        <f t="shared" si="115"/>
        <v>86.333333333332789</v>
      </c>
    </row>
    <row r="1039" spans="61:67" x14ac:dyDescent="0.25">
      <c r="BI1039" s="2">
        <f t="shared" si="116"/>
        <v>86.416666666666117</v>
      </c>
      <c r="BJ1039" s="1">
        <f t="shared" si="117"/>
        <v>-1257112.7691750757</v>
      </c>
      <c r="BK1039" s="1">
        <f t="shared" si="118"/>
        <v>-1334702.141903002</v>
      </c>
      <c r="BL1039" s="26">
        <f t="shared" si="113"/>
        <v>0</v>
      </c>
      <c r="BM1039" s="26">
        <f t="shared" si="112"/>
        <v>0</v>
      </c>
      <c r="BN1039">
        <f t="shared" si="114"/>
        <v>86.416666666666117</v>
      </c>
      <c r="BO1039">
        <f t="shared" si="115"/>
        <v>86.416666666666117</v>
      </c>
    </row>
    <row r="1040" spans="61:67" x14ac:dyDescent="0.25">
      <c r="BI1040" s="2">
        <f t="shared" si="116"/>
        <v>86.499999999999446</v>
      </c>
      <c r="BJ1040" s="1">
        <f t="shared" si="117"/>
        <v>-1261242.6901941604</v>
      </c>
      <c r="BK1040" s="1">
        <f t="shared" si="118"/>
        <v>-1339035.7350254976</v>
      </c>
      <c r="BL1040" s="26">
        <f t="shared" si="113"/>
        <v>0</v>
      </c>
      <c r="BM1040" s="26">
        <f t="shared" si="112"/>
        <v>0</v>
      </c>
      <c r="BN1040">
        <f t="shared" si="114"/>
        <v>86.499999999999446</v>
      </c>
      <c r="BO1040">
        <f t="shared" si="115"/>
        <v>86.499999999999446</v>
      </c>
    </row>
    <row r="1041" spans="61:67" x14ac:dyDescent="0.25">
      <c r="BI1041" s="2">
        <f t="shared" si="116"/>
        <v>86.583333333332774</v>
      </c>
      <c r="BJ1041" s="1">
        <f t="shared" si="117"/>
        <v>-1265383.4522559203</v>
      </c>
      <c r="BK1041" s="1">
        <f t="shared" si="118"/>
        <v>-1343380.7038299397</v>
      </c>
      <c r="BL1041" s="26">
        <f t="shared" si="113"/>
        <v>0</v>
      </c>
      <c r="BM1041" s="26">
        <f t="shared" si="112"/>
        <v>0</v>
      </c>
      <c r="BN1041">
        <f t="shared" si="114"/>
        <v>86.583333333332774</v>
      </c>
      <c r="BO1041">
        <f t="shared" si="115"/>
        <v>86.583333333332774</v>
      </c>
    </row>
    <row r="1042" spans="61:67" x14ac:dyDescent="0.25">
      <c r="BI1042" s="2">
        <f t="shared" si="116"/>
        <v>86.666666666666103</v>
      </c>
      <c r="BJ1042" s="1">
        <f t="shared" si="117"/>
        <v>-1269535.0838180922</v>
      </c>
      <c r="BK1042" s="1">
        <f t="shared" si="118"/>
        <v>-1347737.0781774935</v>
      </c>
      <c r="BL1042" s="26">
        <f t="shared" si="113"/>
        <v>0</v>
      </c>
      <c r="BM1042" s="26">
        <f t="shared" si="112"/>
        <v>0</v>
      </c>
      <c r="BN1042">
        <f t="shared" si="114"/>
        <v>86.666666666666103</v>
      </c>
      <c r="BO1042">
        <f t="shared" si="115"/>
        <v>86.666666666666103</v>
      </c>
    </row>
    <row r="1043" spans="61:67" x14ac:dyDescent="0.25">
      <c r="BI1043" s="2">
        <f t="shared" si="116"/>
        <v>86.749999999999432</v>
      </c>
      <c r="BJ1043" s="1">
        <f t="shared" si="117"/>
        <v>-1273697.6134131148</v>
      </c>
      <c r="BK1043" s="1">
        <f t="shared" si="118"/>
        <v>-1352104.8880077095</v>
      </c>
      <c r="BL1043" s="26">
        <f t="shared" si="113"/>
        <v>0</v>
      </c>
      <c r="BM1043" s="26">
        <f t="shared" si="112"/>
        <v>0</v>
      </c>
      <c r="BN1043">
        <f t="shared" si="114"/>
        <v>86.749999999999432</v>
      </c>
      <c r="BO1043">
        <f t="shared" si="115"/>
        <v>86.749999999999432</v>
      </c>
    </row>
    <row r="1044" spans="61:67" x14ac:dyDescent="0.25">
      <c r="BI1044" s="2">
        <f t="shared" si="116"/>
        <v>86.83333333333276</v>
      </c>
      <c r="BJ1044" s="1">
        <f t="shared" si="117"/>
        <v>-1277871.0696483243</v>
      </c>
      <c r="BK1044" s="1">
        <f t="shared" si="118"/>
        <v>-1356484.1633387299</v>
      </c>
      <c r="BL1044" s="26">
        <f t="shared" si="113"/>
        <v>0</v>
      </c>
      <c r="BM1044" s="26">
        <f t="shared" si="112"/>
        <v>0</v>
      </c>
      <c r="BN1044">
        <f t="shared" si="114"/>
        <v>86.83333333333276</v>
      </c>
      <c r="BO1044">
        <f t="shared" si="115"/>
        <v>86.83333333333276</v>
      </c>
    </row>
    <row r="1045" spans="61:67" x14ac:dyDescent="0.25">
      <c r="BI1045" s="2">
        <f t="shared" si="116"/>
        <v>86.916666666666089</v>
      </c>
      <c r="BJ1045" s="1">
        <f t="shared" si="117"/>
        <v>-1282055.4812061512</v>
      </c>
      <c r="BK1045" s="1">
        <f t="shared" si="118"/>
        <v>-1360874.9342674941</v>
      </c>
      <c r="BL1045" s="26">
        <f t="shared" si="113"/>
        <v>0</v>
      </c>
      <c r="BM1045" s="26">
        <f t="shared" si="112"/>
        <v>0</v>
      </c>
      <c r="BN1045">
        <f t="shared" si="114"/>
        <v>86.916666666666089</v>
      </c>
      <c r="BO1045">
        <f t="shared" si="115"/>
        <v>86.916666666666089</v>
      </c>
    </row>
    <row r="1046" spans="61:67" x14ac:dyDescent="0.25">
      <c r="BI1046" s="2">
        <f t="shared" si="116"/>
        <v>86.999999999999417</v>
      </c>
      <c r="BJ1046" s="1">
        <f t="shared" si="117"/>
        <v>-1286250.8768443174</v>
      </c>
      <c r="BK1046" s="1">
        <f t="shared" si="118"/>
        <v>-1365277.2309699464</v>
      </c>
      <c r="BL1046" s="26">
        <f t="shared" si="113"/>
        <v>0</v>
      </c>
      <c r="BM1046" s="26">
        <f t="shared" si="112"/>
        <v>0</v>
      </c>
      <c r="BN1046">
        <f t="shared" si="114"/>
        <v>86.999999999999417</v>
      </c>
      <c r="BO1046">
        <f t="shared" si="115"/>
        <v>86.999999999999417</v>
      </c>
    </row>
    <row r="1047" spans="61:67" x14ac:dyDescent="0.25">
      <c r="BI1047" s="2">
        <f t="shared" si="116"/>
        <v>87.083333333332746</v>
      </c>
      <c r="BJ1047" s="1">
        <f t="shared" si="117"/>
        <v>-1290457.2853960339</v>
      </c>
      <c r="BK1047" s="1">
        <f t="shared" si="118"/>
        <v>-1369691.0837012427</v>
      </c>
      <c r="BL1047" s="26">
        <f t="shared" si="113"/>
        <v>0</v>
      </c>
      <c r="BM1047" s="26">
        <f t="shared" si="112"/>
        <v>0</v>
      </c>
      <c r="BN1047">
        <f t="shared" si="114"/>
        <v>87.083333333332746</v>
      </c>
      <c r="BO1047">
        <f t="shared" si="115"/>
        <v>87.083333333332746</v>
      </c>
    </row>
    <row r="1048" spans="61:67" x14ac:dyDescent="0.25">
      <c r="BI1048" s="2">
        <f t="shared" si="116"/>
        <v>87.166666666666075</v>
      </c>
      <c r="BJ1048" s="1">
        <f t="shared" si="117"/>
        <v>-1294674.7357701985</v>
      </c>
      <c r="BK1048" s="1">
        <f t="shared" si="118"/>
        <v>-1374116.5227959587</v>
      </c>
      <c r="BL1048" s="26">
        <f t="shared" si="113"/>
        <v>0</v>
      </c>
      <c r="BM1048" s="26">
        <f t="shared" si="112"/>
        <v>0</v>
      </c>
      <c r="BN1048">
        <f t="shared" si="114"/>
        <v>87.166666666666075</v>
      </c>
      <c r="BO1048">
        <f t="shared" si="115"/>
        <v>87.166666666666075</v>
      </c>
    </row>
    <row r="1049" spans="61:67" x14ac:dyDescent="0.25">
      <c r="BI1049" s="2">
        <f t="shared" si="116"/>
        <v>87.249999999999403</v>
      </c>
      <c r="BJ1049" s="1">
        <f t="shared" si="117"/>
        <v>-1298903.2569515954</v>
      </c>
      <c r="BK1049" s="1">
        <f t="shared" si="118"/>
        <v>-1378553.5786682982</v>
      </c>
      <c r="BL1049" s="26">
        <f t="shared" si="113"/>
        <v>0</v>
      </c>
      <c r="BM1049" s="26">
        <f t="shared" si="112"/>
        <v>0</v>
      </c>
      <c r="BN1049">
        <f t="shared" si="114"/>
        <v>87.249999999999403</v>
      </c>
      <c r="BO1049">
        <f t="shared" si="115"/>
        <v>87.249999999999403</v>
      </c>
    </row>
    <row r="1050" spans="61:67" x14ac:dyDescent="0.25">
      <c r="BI1050" s="2">
        <f t="shared" si="116"/>
        <v>87.333333333332732</v>
      </c>
      <c r="BJ1050" s="1">
        <f t="shared" si="117"/>
        <v>-1303142.8780010934</v>
      </c>
      <c r="BK1050" s="1">
        <f t="shared" si="118"/>
        <v>-1383002.2818123025</v>
      </c>
      <c r="BL1050" s="26">
        <f t="shared" si="113"/>
        <v>0</v>
      </c>
      <c r="BM1050" s="26">
        <f t="shared" si="112"/>
        <v>0</v>
      </c>
      <c r="BN1050">
        <f t="shared" si="114"/>
        <v>87.333333333332732</v>
      </c>
      <c r="BO1050">
        <f t="shared" si="115"/>
        <v>87.333333333332732</v>
      </c>
    </row>
    <row r="1051" spans="61:67" x14ac:dyDescent="0.25">
      <c r="BI1051" s="2">
        <f t="shared" si="116"/>
        <v>87.41666666666606</v>
      </c>
      <c r="BJ1051" s="1">
        <f t="shared" si="117"/>
        <v>-1307393.6280558463</v>
      </c>
      <c r="BK1051" s="1">
        <f t="shared" si="118"/>
        <v>-1387462.6628020599</v>
      </c>
      <c r="BL1051" s="26">
        <f t="shared" si="113"/>
        <v>0</v>
      </c>
      <c r="BM1051" s="26">
        <f t="shared" ref="BM1051:BM1114" si="119">IF(AND(BL1051&gt;0,BK1051&gt;0),1,0)</f>
        <v>0</v>
      </c>
      <c r="BN1051">
        <f t="shared" si="114"/>
        <v>87.41666666666606</v>
      </c>
      <c r="BO1051">
        <f t="shared" si="115"/>
        <v>87.41666666666606</v>
      </c>
    </row>
    <row r="1052" spans="61:67" x14ac:dyDescent="0.25">
      <c r="BI1052" s="2">
        <f t="shared" si="116"/>
        <v>87.499999999999389</v>
      </c>
      <c r="BJ1052" s="1">
        <f t="shared" si="117"/>
        <v>-1311655.5363294932</v>
      </c>
      <c r="BK1052" s="1">
        <f t="shared" si="118"/>
        <v>-1391934.7522919155</v>
      </c>
      <c r="BL1052" s="26">
        <f t="shared" si="113"/>
        <v>0</v>
      </c>
      <c r="BM1052" s="26">
        <f t="shared" si="119"/>
        <v>0</v>
      </c>
      <c r="BN1052">
        <f t="shared" si="114"/>
        <v>87.499999999999389</v>
      </c>
      <c r="BO1052">
        <f t="shared" si="115"/>
        <v>87.499999999999389</v>
      </c>
    </row>
    <row r="1053" spans="61:67" x14ac:dyDescent="0.25">
      <c r="BI1053" s="2">
        <f t="shared" si="116"/>
        <v>87.583333333332718</v>
      </c>
      <c r="BJ1053" s="1">
        <f t="shared" si="117"/>
        <v>-1315928.6321123582</v>
      </c>
      <c r="BK1053" s="1">
        <f t="shared" si="118"/>
        <v>-1396418.5810166819</v>
      </c>
      <c r="BL1053" s="26">
        <f t="shared" si="113"/>
        <v>0</v>
      </c>
      <c r="BM1053" s="26">
        <f t="shared" si="119"/>
        <v>0</v>
      </c>
      <c r="BN1053">
        <f t="shared" si="114"/>
        <v>87.583333333332718</v>
      </c>
      <c r="BO1053">
        <f t="shared" si="115"/>
        <v>87.583333333332718</v>
      </c>
    </row>
    <row r="1054" spans="61:67" x14ac:dyDescent="0.25">
      <c r="BI1054" s="2">
        <f t="shared" si="116"/>
        <v>87.666666666666046</v>
      </c>
      <c r="BJ1054" s="1">
        <f t="shared" si="117"/>
        <v>-1320212.9447716533</v>
      </c>
      <c r="BK1054" s="1">
        <f t="shared" si="118"/>
        <v>-1400914.1797918507</v>
      </c>
      <c r="BL1054" s="26">
        <f t="shared" si="113"/>
        <v>0</v>
      </c>
      <c r="BM1054" s="26">
        <f t="shared" si="119"/>
        <v>0</v>
      </c>
      <c r="BN1054">
        <f t="shared" si="114"/>
        <v>87.666666666666046</v>
      </c>
      <c r="BO1054">
        <f t="shared" si="115"/>
        <v>87.666666666666046</v>
      </c>
    </row>
    <row r="1055" spans="61:67" x14ac:dyDescent="0.25">
      <c r="BI1055" s="2">
        <f t="shared" si="116"/>
        <v>87.749999999999375</v>
      </c>
      <c r="BJ1055" s="1">
        <f t="shared" si="117"/>
        <v>-1324508.5037516791</v>
      </c>
      <c r="BK1055" s="1">
        <f t="shared" si="118"/>
        <v>-1405421.5795138045</v>
      </c>
      <c r="BL1055" s="26">
        <f t="shared" si="113"/>
        <v>0</v>
      </c>
      <c r="BM1055" s="26">
        <f t="shared" si="119"/>
        <v>0</v>
      </c>
      <c r="BN1055">
        <f t="shared" si="114"/>
        <v>87.749999999999375</v>
      </c>
      <c r="BO1055">
        <f t="shared" si="115"/>
        <v>87.749999999999375</v>
      </c>
    </row>
    <row r="1056" spans="61:67" x14ac:dyDescent="0.25">
      <c r="BI1056" s="2">
        <f t="shared" si="116"/>
        <v>87.833333333332703</v>
      </c>
      <c r="BJ1056" s="1">
        <f t="shared" si="117"/>
        <v>-1328815.3385740274</v>
      </c>
      <c r="BK1056" s="1">
        <f t="shared" si="118"/>
        <v>-1409940.8111600284</v>
      </c>
      <c r="BL1056" s="26">
        <f t="shared" si="113"/>
        <v>0</v>
      </c>
      <c r="BM1056" s="26">
        <f t="shared" si="119"/>
        <v>0</v>
      </c>
      <c r="BN1056">
        <f t="shared" si="114"/>
        <v>87.833333333332703</v>
      </c>
      <c r="BO1056">
        <f t="shared" si="115"/>
        <v>87.833333333332703</v>
      </c>
    </row>
    <row r="1057" spans="61:67" x14ac:dyDescent="0.25">
      <c r="BI1057" s="2">
        <f t="shared" si="116"/>
        <v>87.916666666666032</v>
      </c>
      <c r="BJ1057" s="1">
        <f t="shared" si="117"/>
        <v>-1333133.4788377844</v>
      </c>
      <c r="BK1057" s="1">
        <f t="shared" si="118"/>
        <v>-1414471.9057893236</v>
      </c>
      <c r="BL1057" s="26">
        <f t="shared" si="113"/>
        <v>0</v>
      </c>
      <c r="BM1057" s="26">
        <f t="shared" si="119"/>
        <v>0</v>
      </c>
      <c r="BN1057">
        <f t="shared" si="114"/>
        <v>87.916666666666032</v>
      </c>
      <c r="BO1057">
        <f t="shared" si="115"/>
        <v>87.916666666666032</v>
      </c>
    </row>
    <row r="1058" spans="61:67" x14ac:dyDescent="0.25">
      <c r="BI1058" s="2">
        <f t="shared" si="116"/>
        <v>87.999999999999361</v>
      </c>
      <c r="BJ1058" s="1">
        <f t="shared" si="117"/>
        <v>-1337462.9542197336</v>
      </c>
      <c r="BK1058" s="1">
        <f t="shared" si="118"/>
        <v>-1419014.8945420207</v>
      </c>
      <c r="BL1058" s="26">
        <f t="shared" si="113"/>
        <v>0</v>
      </c>
      <c r="BM1058" s="26">
        <f t="shared" si="119"/>
        <v>0</v>
      </c>
      <c r="BN1058">
        <f t="shared" si="114"/>
        <v>87.999999999999361</v>
      </c>
      <c r="BO1058">
        <f t="shared" si="115"/>
        <v>87.999999999999361</v>
      </c>
    </row>
    <row r="1059" spans="61:67" x14ac:dyDescent="0.25">
      <c r="BI1059" s="2">
        <f t="shared" si="116"/>
        <v>88.083333333332689</v>
      </c>
      <c r="BJ1059" s="1">
        <f t="shared" si="117"/>
        <v>-1341803.7944745605</v>
      </c>
      <c r="BK1059" s="1">
        <f t="shared" si="118"/>
        <v>-1423569.8086401937</v>
      </c>
      <c r="BL1059" s="26">
        <f t="shared" si="113"/>
        <v>0</v>
      </c>
      <c r="BM1059" s="26">
        <f t="shared" si="119"/>
        <v>0</v>
      </c>
      <c r="BN1059">
        <f t="shared" si="114"/>
        <v>88.083333333332689</v>
      </c>
      <c r="BO1059">
        <f t="shared" si="115"/>
        <v>88.083333333332689</v>
      </c>
    </row>
    <row r="1060" spans="61:67" x14ac:dyDescent="0.25">
      <c r="BI1060" s="2">
        <f t="shared" si="116"/>
        <v>88.166666666666018</v>
      </c>
      <c r="BJ1060" s="1">
        <f t="shared" si="117"/>
        <v>-1346156.0294350565</v>
      </c>
      <c r="BK1060" s="1">
        <f t="shared" si="118"/>
        <v>-1428136.6793878742</v>
      </c>
      <c r="BL1060" s="26">
        <f t="shared" si="113"/>
        <v>0</v>
      </c>
      <c r="BM1060" s="26">
        <f t="shared" si="119"/>
        <v>0</v>
      </c>
      <c r="BN1060">
        <f t="shared" si="114"/>
        <v>88.166666666666018</v>
      </c>
      <c r="BO1060">
        <f t="shared" si="115"/>
        <v>88.166666666666018</v>
      </c>
    </row>
    <row r="1061" spans="61:67" x14ac:dyDescent="0.25">
      <c r="BI1061" s="2">
        <f t="shared" si="116"/>
        <v>88.249999999999346</v>
      </c>
      <c r="BJ1061" s="1">
        <f t="shared" si="117"/>
        <v>-1350519.6890123237</v>
      </c>
      <c r="BK1061" s="1">
        <f t="shared" si="118"/>
        <v>-1432715.5381712676</v>
      </c>
      <c r="BL1061" s="26">
        <f t="shared" si="113"/>
        <v>0</v>
      </c>
      <c r="BM1061" s="26">
        <f t="shared" si="119"/>
        <v>0</v>
      </c>
      <c r="BN1061">
        <f t="shared" si="114"/>
        <v>88.249999999999346</v>
      </c>
      <c r="BO1061">
        <f t="shared" si="115"/>
        <v>88.249999999999346</v>
      </c>
    </row>
    <row r="1062" spans="61:67" x14ac:dyDescent="0.25">
      <c r="BI1062" s="2">
        <f t="shared" si="116"/>
        <v>88.333333333332675</v>
      </c>
      <c r="BJ1062" s="1">
        <f t="shared" si="117"/>
        <v>-1354894.8031959813</v>
      </c>
      <c r="BK1062" s="1">
        <f t="shared" si="118"/>
        <v>-1437306.4164589674</v>
      </c>
      <c r="BL1062" s="26">
        <f t="shared" si="113"/>
        <v>0</v>
      </c>
      <c r="BM1062" s="26">
        <f t="shared" si="119"/>
        <v>0</v>
      </c>
      <c r="BN1062">
        <f t="shared" si="114"/>
        <v>88.333333333332675</v>
      </c>
      <c r="BO1062">
        <f t="shared" si="115"/>
        <v>88.333333333332675</v>
      </c>
    </row>
    <row r="1063" spans="61:67" x14ac:dyDescent="0.25">
      <c r="BI1063" s="2">
        <f t="shared" si="116"/>
        <v>88.416666666666003</v>
      </c>
      <c r="BJ1063" s="1">
        <f t="shared" si="117"/>
        <v>-1359281.4020543708</v>
      </c>
      <c r="BK1063" s="1">
        <f t="shared" si="118"/>
        <v>-1441909.3458021723</v>
      </c>
      <c r="BL1063" s="26">
        <f t="shared" si="113"/>
        <v>0</v>
      </c>
      <c r="BM1063" s="26">
        <f t="shared" si="119"/>
        <v>0</v>
      </c>
      <c r="BN1063">
        <f t="shared" si="114"/>
        <v>88.416666666666003</v>
      </c>
      <c r="BO1063">
        <f t="shared" si="115"/>
        <v>88.416666666666003</v>
      </c>
    </row>
    <row r="1064" spans="61:67" x14ac:dyDescent="0.25">
      <c r="BI1064" s="2">
        <f t="shared" si="116"/>
        <v>88.499999999999332</v>
      </c>
      <c r="BJ1064" s="1">
        <f t="shared" si="117"/>
        <v>-1363679.5157347638</v>
      </c>
      <c r="BK1064" s="1">
        <f t="shared" si="118"/>
        <v>-1446524.3578349031</v>
      </c>
      <c r="BL1064" s="26">
        <f t="shared" si="113"/>
        <v>0</v>
      </c>
      <c r="BM1064" s="26">
        <f t="shared" si="119"/>
        <v>0</v>
      </c>
      <c r="BN1064">
        <f t="shared" si="114"/>
        <v>88.499999999999332</v>
      </c>
      <c r="BO1064">
        <f t="shared" si="115"/>
        <v>88.499999999999332</v>
      </c>
    </row>
    <row r="1065" spans="61:67" x14ac:dyDescent="0.25">
      <c r="BI1065" s="2">
        <f t="shared" si="116"/>
        <v>88.583333333332661</v>
      </c>
      <c r="BJ1065" s="1">
        <f t="shared" si="117"/>
        <v>-1368089.1744635678</v>
      </c>
      <c r="BK1065" s="1">
        <f t="shared" si="118"/>
        <v>-1451151.4842742197</v>
      </c>
      <c r="BL1065" s="26">
        <f t="shared" si="113"/>
        <v>0</v>
      </c>
      <c r="BM1065" s="26">
        <f t="shared" si="119"/>
        <v>0</v>
      </c>
      <c r="BN1065">
        <f t="shared" si="114"/>
        <v>88.583333333332661</v>
      </c>
      <c r="BO1065">
        <f t="shared" si="115"/>
        <v>88.583333333332661</v>
      </c>
    </row>
    <row r="1066" spans="61:67" x14ac:dyDescent="0.25">
      <c r="BI1066" s="2">
        <f t="shared" si="116"/>
        <v>88.666666666665989</v>
      </c>
      <c r="BJ1066" s="1">
        <f t="shared" si="117"/>
        <v>-1372510.4085465348</v>
      </c>
      <c r="BK1066" s="1">
        <f t="shared" si="118"/>
        <v>-1455790.7569204397</v>
      </c>
      <c r="BL1066" s="26">
        <f t="shared" si="113"/>
        <v>0</v>
      </c>
      <c r="BM1066" s="26">
        <f t="shared" si="119"/>
        <v>0</v>
      </c>
      <c r="BN1066">
        <f t="shared" si="114"/>
        <v>88.666666666665989</v>
      </c>
      <c r="BO1066">
        <f t="shared" si="115"/>
        <v>88.666666666665989</v>
      </c>
    </row>
    <row r="1067" spans="61:67" x14ac:dyDescent="0.25">
      <c r="BI1067" s="2">
        <f t="shared" si="116"/>
        <v>88.749999999999318</v>
      </c>
      <c r="BJ1067" s="1">
        <f t="shared" si="117"/>
        <v>-1376943.2483689697</v>
      </c>
      <c r="BK1067" s="1">
        <f t="shared" si="118"/>
        <v>-1460442.207657356</v>
      </c>
      <c r="BL1067" s="26">
        <f t="shared" si="113"/>
        <v>0</v>
      </c>
      <c r="BM1067" s="26">
        <f t="shared" si="119"/>
        <v>0</v>
      </c>
      <c r="BN1067">
        <f t="shared" si="114"/>
        <v>88.749999999999318</v>
      </c>
      <c r="BO1067">
        <f t="shared" si="115"/>
        <v>88.749999999999318</v>
      </c>
    </row>
    <row r="1068" spans="61:67" x14ac:dyDescent="0.25">
      <c r="BI1068" s="2">
        <f t="shared" si="116"/>
        <v>88.833333333332646</v>
      </c>
      <c r="BJ1068" s="1">
        <f t="shared" si="117"/>
        <v>-1381387.7243959385</v>
      </c>
      <c r="BK1068" s="1">
        <f t="shared" si="118"/>
        <v>-1465105.8684524568</v>
      </c>
      <c r="BL1068" s="26">
        <f t="shared" si="113"/>
        <v>0</v>
      </c>
      <c r="BM1068" s="26">
        <f t="shared" si="119"/>
        <v>0</v>
      </c>
      <c r="BN1068">
        <f t="shared" si="114"/>
        <v>88.833333333332646</v>
      </c>
      <c r="BO1068">
        <f t="shared" si="115"/>
        <v>88.833333333332646</v>
      </c>
    </row>
    <row r="1069" spans="61:67" x14ac:dyDescent="0.25">
      <c r="BI1069" s="2">
        <f t="shared" si="116"/>
        <v>88.916666666665975</v>
      </c>
      <c r="BJ1069" s="1">
        <f t="shared" si="117"/>
        <v>-1385843.867172478</v>
      </c>
      <c r="BK1069" s="1">
        <f t="shared" si="118"/>
        <v>-1469781.7713571447</v>
      </c>
      <c r="BL1069" s="26">
        <f t="shared" si="113"/>
        <v>0</v>
      </c>
      <c r="BM1069" s="26">
        <f t="shared" si="119"/>
        <v>0</v>
      </c>
      <c r="BN1069">
        <f t="shared" si="114"/>
        <v>88.916666666665975</v>
      </c>
      <c r="BO1069">
        <f t="shared" si="115"/>
        <v>88.916666666665975</v>
      </c>
    </row>
    <row r="1070" spans="61:67" x14ac:dyDescent="0.25">
      <c r="BI1070" s="2">
        <f t="shared" si="116"/>
        <v>88.999999999999304</v>
      </c>
      <c r="BJ1070" s="1">
        <f t="shared" si="117"/>
        <v>-1390311.7073238059</v>
      </c>
      <c r="BK1070" s="1">
        <f t="shared" si="118"/>
        <v>-1474469.9485069574</v>
      </c>
      <c r="BL1070" s="26">
        <f t="shared" si="113"/>
        <v>0</v>
      </c>
      <c r="BM1070" s="26">
        <f t="shared" si="119"/>
        <v>0</v>
      </c>
      <c r="BN1070">
        <f t="shared" si="114"/>
        <v>88.999999999999304</v>
      </c>
      <c r="BO1070">
        <f t="shared" si="115"/>
        <v>88.999999999999304</v>
      </c>
    </row>
    <row r="1071" spans="61:67" x14ac:dyDescent="0.25">
      <c r="BI1071" s="2">
        <f t="shared" si="116"/>
        <v>89.083333333332632</v>
      </c>
      <c r="BJ1071" s="1">
        <f t="shared" si="117"/>
        <v>-1394791.275555531</v>
      </c>
      <c r="BK1071" s="1">
        <f t="shared" si="118"/>
        <v>-1479170.4321217884</v>
      </c>
      <c r="BL1071" s="26">
        <f t="shared" si="113"/>
        <v>0</v>
      </c>
      <c r="BM1071" s="26">
        <f t="shared" si="119"/>
        <v>0</v>
      </c>
      <c r="BN1071">
        <f t="shared" si="114"/>
        <v>89.083333333332632</v>
      </c>
      <c r="BO1071">
        <f t="shared" si="115"/>
        <v>89.083333333332632</v>
      </c>
    </row>
    <row r="1072" spans="61:67" x14ac:dyDescent="0.25">
      <c r="BI1072" s="2">
        <f t="shared" si="116"/>
        <v>89.166666666665961</v>
      </c>
      <c r="BJ1072" s="1">
        <f t="shared" si="117"/>
        <v>-1399282.6026538645</v>
      </c>
      <c r="BK1072" s="1">
        <f t="shared" si="118"/>
        <v>-1483883.2545061081</v>
      </c>
      <c r="BL1072" s="26">
        <f t="shared" si="113"/>
        <v>0</v>
      </c>
      <c r="BM1072" s="26">
        <f t="shared" si="119"/>
        <v>0</v>
      </c>
      <c r="BN1072">
        <f t="shared" si="114"/>
        <v>89.166666666665961</v>
      </c>
      <c r="BO1072">
        <f t="shared" si="115"/>
        <v>89.166666666665961</v>
      </c>
    </row>
    <row r="1073" spans="61:67" x14ac:dyDescent="0.25">
      <c r="BI1073" s="2">
        <f t="shared" si="116"/>
        <v>89.249999999999289</v>
      </c>
      <c r="BJ1073" s="1">
        <f t="shared" si="117"/>
        <v>-1403785.719485831</v>
      </c>
      <c r="BK1073" s="1">
        <f t="shared" si="118"/>
        <v>-1488608.4480491867</v>
      </c>
      <c r="BL1073" s="26">
        <f t="shared" si="113"/>
        <v>0</v>
      </c>
      <c r="BM1073" s="26">
        <f t="shared" si="119"/>
        <v>0</v>
      </c>
      <c r="BN1073">
        <f t="shared" si="114"/>
        <v>89.249999999999289</v>
      </c>
      <c r="BO1073">
        <f t="shared" si="115"/>
        <v>89.249999999999289</v>
      </c>
    </row>
    <row r="1074" spans="61:67" x14ac:dyDescent="0.25">
      <c r="BI1074" s="2">
        <f t="shared" si="116"/>
        <v>89.333333333332618</v>
      </c>
      <c r="BJ1074" s="1">
        <f t="shared" si="117"/>
        <v>-1408300.6569994814</v>
      </c>
      <c r="BK1074" s="1">
        <f t="shared" si="118"/>
        <v>-1493346.045225316</v>
      </c>
      <c r="BL1074" s="26">
        <f t="shared" si="113"/>
        <v>0</v>
      </c>
      <c r="BM1074" s="26">
        <f t="shared" si="119"/>
        <v>0</v>
      </c>
      <c r="BN1074">
        <f t="shared" si="114"/>
        <v>89.333333333332618</v>
      </c>
      <c r="BO1074">
        <f t="shared" si="115"/>
        <v>89.333333333332618</v>
      </c>
    </row>
    <row r="1075" spans="61:67" x14ac:dyDescent="0.25">
      <c r="BI1075" s="2">
        <f t="shared" si="116"/>
        <v>89.416666666665947</v>
      </c>
      <c r="BJ1075" s="1">
        <f t="shared" si="117"/>
        <v>-1412827.4462241051</v>
      </c>
      <c r="BK1075" s="1">
        <f t="shared" si="118"/>
        <v>-1498096.0785940327</v>
      </c>
      <c r="BL1075" s="26">
        <f t="shared" si="113"/>
        <v>0</v>
      </c>
      <c r="BM1075" s="26">
        <f t="shared" si="119"/>
        <v>0</v>
      </c>
      <c r="BN1075">
        <f t="shared" si="114"/>
        <v>89.416666666665947</v>
      </c>
      <c r="BO1075">
        <f t="shared" si="115"/>
        <v>89.416666666665947</v>
      </c>
    </row>
    <row r="1076" spans="61:67" x14ac:dyDescent="0.25">
      <c r="BI1076" s="2">
        <f t="shared" si="116"/>
        <v>89.499999999999275</v>
      </c>
      <c r="BJ1076" s="1">
        <f t="shared" si="117"/>
        <v>-1417366.1182704435</v>
      </c>
      <c r="BK1076" s="1">
        <f t="shared" si="118"/>
        <v>-1502858.5808003421</v>
      </c>
      <c r="BL1076" s="26">
        <f t="shared" si="113"/>
        <v>0</v>
      </c>
      <c r="BM1076" s="26">
        <f t="shared" si="119"/>
        <v>0</v>
      </c>
      <c r="BN1076">
        <f t="shared" si="114"/>
        <v>89.499999999999275</v>
      </c>
      <c r="BO1076">
        <f t="shared" si="115"/>
        <v>89.499999999999275</v>
      </c>
    </row>
    <row r="1077" spans="61:67" x14ac:dyDescent="0.25">
      <c r="BI1077" s="2">
        <f t="shared" si="116"/>
        <v>89.583333333332604</v>
      </c>
      <c r="BJ1077" s="1">
        <f t="shared" si="117"/>
        <v>-1421916.7043309035</v>
      </c>
      <c r="BK1077" s="1">
        <f t="shared" si="118"/>
        <v>-1507633.5845749432</v>
      </c>
      <c r="BL1077" s="26">
        <f t="shared" si="113"/>
        <v>0</v>
      </c>
      <c r="BM1077" s="26">
        <f t="shared" si="119"/>
        <v>0</v>
      </c>
      <c r="BN1077">
        <f t="shared" si="114"/>
        <v>89.583333333332604</v>
      </c>
      <c r="BO1077">
        <f t="shared" si="115"/>
        <v>89.583333333332604</v>
      </c>
    </row>
    <row r="1078" spans="61:67" x14ac:dyDescent="0.25">
      <c r="BI1078" s="2">
        <f t="shared" si="116"/>
        <v>89.666666666665932</v>
      </c>
      <c r="BJ1078" s="1">
        <f t="shared" si="117"/>
        <v>-1426479.2356797722</v>
      </c>
      <c r="BK1078" s="1">
        <f t="shared" si="118"/>
        <v>-1512421.1227344526</v>
      </c>
      <c r="BL1078" s="26">
        <f t="shared" si="113"/>
        <v>0</v>
      </c>
      <c r="BM1078" s="26">
        <f t="shared" si="119"/>
        <v>0</v>
      </c>
      <c r="BN1078">
        <f t="shared" si="114"/>
        <v>89.666666666665932</v>
      </c>
      <c r="BO1078">
        <f t="shared" si="115"/>
        <v>89.666666666665932</v>
      </c>
    </row>
    <row r="1079" spans="61:67" x14ac:dyDescent="0.25">
      <c r="BI1079" s="2">
        <f t="shared" si="116"/>
        <v>89.749999999999261</v>
      </c>
      <c r="BJ1079" s="1">
        <f t="shared" si="117"/>
        <v>-1431053.7436734317</v>
      </c>
      <c r="BK1079" s="1">
        <f t="shared" si="118"/>
        <v>-1517221.2281816306</v>
      </c>
      <c r="BL1079" s="26">
        <f t="shared" si="113"/>
        <v>0</v>
      </c>
      <c r="BM1079" s="26">
        <f t="shared" si="119"/>
        <v>0</v>
      </c>
      <c r="BN1079">
        <f t="shared" si="114"/>
        <v>89.749999999999261</v>
      </c>
      <c r="BO1079">
        <f t="shared" si="115"/>
        <v>89.749999999999261</v>
      </c>
    </row>
    <row r="1080" spans="61:67" x14ac:dyDescent="0.25">
      <c r="BI1080" s="2">
        <f t="shared" si="116"/>
        <v>89.83333333333259</v>
      </c>
      <c r="BJ1080" s="1">
        <f t="shared" si="117"/>
        <v>-1435640.2597505746</v>
      </c>
      <c r="BK1080" s="1">
        <f t="shared" si="118"/>
        <v>-1522033.9339056076</v>
      </c>
      <c r="BL1080" s="26">
        <f t="shared" si="113"/>
        <v>0</v>
      </c>
      <c r="BM1080" s="26">
        <f t="shared" si="119"/>
        <v>0</v>
      </c>
      <c r="BN1080">
        <f t="shared" si="114"/>
        <v>89.83333333333259</v>
      </c>
      <c r="BO1080">
        <f t="shared" si="115"/>
        <v>89.83333333333259</v>
      </c>
    </row>
    <row r="1081" spans="61:67" x14ac:dyDescent="0.25">
      <c r="BI1081" s="2">
        <f t="shared" si="116"/>
        <v>89.916666666665918</v>
      </c>
      <c r="BJ1081" s="1">
        <f t="shared" si="117"/>
        <v>-1440238.81543242</v>
      </c>
      <c r="BK1081" s="1">
        <f t="shared" si="118"/>
        <v>-1526859.27298211</v>
      </c>
      <c r="BL1081" s="26">
        <f t="shared" si="113"/>
        <v>0</v>
      </c>
      <c r="BM1081" s="26">
        <f t="shared" si="119"/>
        <v>0</v>
      </c>
      <c r="BN1081">
        <f t="shared" si="114"/>
        <v>89.916666666665918</v>
      </c>
      <c r="BO1081">
        <f t="shared" si="115"/>
        <v>89.916666666665918</v>
      </c>
    </row>
    <row r="1082" spans="61:67" x14ac:dyDescent="0.25">
      <c r="BI1082" s="2">
        <f t="shared" si="116"/>
        <v>89.999999999999247</v>
      </c>
      <c r="BJ1082" s="1">
        <f t="shared" si="117"/>
        <v>-1444849.4423229303</v>
      </c>
      <c r="BK1082" s="1">
        <f t="shared" si="118"/>
        <v>-1531697.2785736881</v>
      </c>
      <c r="BL1082" s="26">
        <f t="shared" si="113"/>
        <v>0</v>
      </c>
      <c r="BM1082" s="26">
        <f t="shared" si="119"/>
        <v>0</v>
      </c>
      <c r="BN1082">
        <f t="shared" si="114"/>
        <v>89.999999999999247</v>
      </c>
      <c r="BO1082">
        <f t="shared" si="115"/>
        <v>89.999999999999247</v>
      </c>
    </row>
    <row r="1083" spans="61:67" x14ac:dyDescent="0.25">
      <c r="BI1083" s="2">
        <f t="shared" si="116"/>
        <v>90.083333333332575</v>
      </c>
      <c r="BJ1083" s="1">
        <f t="shared" si="117"/>
        <v>-1449472.1721090281</v>
      </c>
      <c r="BK1083" s="1">
        <f t="shared" si="118"/>
        <v>-1536547.9839299442</v>
      </c>
      <c r="BL1083" s="26">
        <f t="shared" si="113"/>
        <v>0</v>
      </c>
      <c r="BM1083" s="26">
        <f t="shared" si="119"/>
        <v>0</v>
      </c>
      <c r="BN1083">
        <f t="shared" si="114"/>
        <v>90.083333333332575</v>
      </c>
      <c r="BO1083">
        <f t="shared" si="115"/>
        <v>90.083333333332575</v>
      </c>
    </row>
    <row r="1084" spans="61:67" x14ac:dyDescent="0.25">
      <c r="BI1084" s="2">
        <f t="shared" si="116"/>
        <v>90.166666666665904</v>
      </c>
      <c r="BJ1084" s="1">
        <f t="shared" si="117"/>
        <v>-1454107.0365608144</v>
      </c>
      <c r="BK1084" s="1">
        <f t="shared" si="118"/>
        <v>-1541411.4223877604</v>
      </c>
      <c r="BL1084" s="26">
        <f t="shared" si="113"/>
        <v>0</v>
      </c>
      <c r="BM1084" s="26">
        <f t="shared" si="119"/>
        <v>0</v>
      </c>
      <c r="BN1084">
        <f t="shared" si="114"/>
        <v>90.166666666665904</v>
      </c>
      <c r="BO1084">
        <f t="shared" si="115"/>
        <v>90.166666666665904</v>
      </c>
    </row>
    <row r="1085" spans="61:67" x14ac:dyDescent="0.25">
      <c r="BI1085" s="2">
        <f t="shared" si="116"/>
        <v>90.249999999999233</v>
      </c>
      <c r="BJ1085" s="1">
        <f t="shared" si="117"/>
        <v>-1458754.0675317866</v>
      </c>
      <c r="BK1085" s="1">
        <f t="shared" si="118"/>
        <v>-1546287.6273715284</v>
      </c>
      <c r="BL1085" s="26">
        <f t="shared" si="113"/>
        <v>0</v>
      </c>
      <c r="BM1085" s="26">
        <f t="shared" si="119"/>
        <v>0</v>
      </c>
      <c r="BN1085">
        <f t="shared" si="114"/>
        <v>90.249999999999233</v>
      </c>
      <c r="BO1085">
        <f t="shared" si="115"/>
        <v>90.249999999999233</v>
      </c>
    </row>
    <row r="1086" spans="61:67" x14ac:dyDescent="0.25">
      <c r="BI1086" s="2">
        <f t="shared" si="116"/>
        <v>90.333333333332561</v>
      </c>
      <c r="BJ1086" s="1">
        <f t="shared" si="117"/>
        <v>-1463413.2969590577</v>
      </c>
      <c r="BK1086" s="1">
        <f t="shared" si="118"/>
        <v>-1551176.6323933788</v>
      </c>
      <c r="BL1086" s="26">
        <f t="shared" si="113"/>
        <v>0</v>
      </c>
      <c r="BM1086" s="26">
        <f t="shared" si="119"/>
        <v>0</v>
      </c>
      <c r="BN1086">
        <f t="shared" si="114"/>
        <v>90.333333333332561</v>
      </c>
      <c r="BO1086">
        <f t="shared" si="115"/>
        <v>90.333333333332561</v>
      </c>
    </row>
    <row r="1087" spans="61:67" x14ac:dyDescent="0.25">
      <c r="BI1087" s="2">
        <f t="shared" si="116"/>
        <v>90.41666666666589</v>
      </c>
      <c r="BJ1087" s="1">
        <f t="shared" si="117"/>
        <v>-1468084.7568635754</v>
      </c>
      <c r="BK1087" s="1">
        <f t="shared" si="118"/>
        <v>-1556078.4710534115</v>
      </c>
      <c r="BL1087" s="26">
        <f t="shared" si="113"/>
        <v>0</v>
      </c>
      <c r="BM1087" s="26">
        <f t="shared" si="119"/>
        <v>0</v>
      </c>
      <c r="BN1087">
        <f t="shared" si="114"/>
        <v>90.41666666666589</v>
      </c>
      <c r="BO1087">
        <f t="shared" si="115"/>
        <v>90.41666666666589</v>
      </c>
    </row>
    <row r="1088" spans="61:67" x14ac:dyDescent="0.25">
      <c r="BI1088" s="2">
        <f t="shared" si="116"/>
        <v>90.499999999999218</v>
      </c>
      <c r="BJ1088" s="1">
        <f t="shared" si="117"/>
        <v>-1472768.4793503424</v>
      </c>
      <c r="BK1088" s="1">
        <f t="shared" si="118"/>
        <v>-1560993.1770399269</v>
      </c>
      <c r="BL1088" s="26">
        <f t="shared" si="113"/>
        <v>0</v>
      </c>
      <c r="BM1088" s="26">
        <f t="shared" si="119"/>
        <v>0</v>
      </c>
      <c r="BN1088">
        <f t="shared" si="114"/>
        <v>90.499999999999218</v>
      </c>
      <c r="BO1088">
        <f t="shared" si="115"/>
        <v>90.499999999999218</v>
      </c>
    </row>
    <row r="1089" spans="61:67" x14ac:dyDescent="0.25">
      <c r="BI1089" s="2">
        <f t="shared" si="116"/>
        <v>90.583333333332547</v>
      </c>
      <c r="BJ1089" s="1">
        <f t="shared" si="117"/>
        <v>-1477464.4966086373</v>
      </c>
      <c r="BK1089" s="1">
        <f t="shared" si="118"/>
        <v>-1565920.7841296569</v>
      </c>
      <c r="BL1089" s="26">
        <f t="shared" si="113"/>
        <v>0</v>
      </c>
      <c r="BM1089" s="26">
        <f t="shared" si="119"/>
        <v>0</v>
      </c>
      <c r="BN1089">
        <f t="shared" si="114"/>
        <v>90.583333333332547</v>
      </c>
      <c r="BO1089">
        <f t="shared" si="115"/>
        <v>90.583333333332547</v>
      </c>
    </row>
    <row r="1090" spans="61:67" x14ac:dyDescent="0.25">
      <c r="BI1090" s="2">
        <f t="shared" si="116"/>
        <v>90.666666666665876</v>
      </c>
      <c r="BJ1090" s="1">
        <f t="shared" si="117"/>
        <v>-1482172.8409122352</v>
      </c>
      <c r="BK1090" s="1">
        <f t="shared" si="118"/>
        <v>-1570861.3261879974</v>
      </c>
      <c r="BL1090" s="26">
        <f t="shared" ref="BL1090:BL1153" si="120">IF(BI1090&gt;$G$12,0,1)</f>
        <v>0</v>
      </c>
      <c r="BM1090" s="26">
        <f t="shared" si="119"/>
        <v>0</v>
      </c>
      <c r="BN1090">
        <f t="shared" ref="BN1090:BN1153" si="121">IF(BK1090&lt;0,BI1090,999)</f>
        <v>90.666666666665876</v>
      </c>
      <c r="BO1090">
        <f t="shared" ref="BO1090:BO1153" si="122">IF(BJ1090&lt;0,BI1090,999)</f>
        <v>90.666666666665876</v>
      </c>
    </row>
    <row r="1091" spans="61:67" x14ac:dyDescent="0.25">
      <c r="BI1091" s="2">
        <f t="shared" ref="BI1091:BI1154" si="123">BI1090+1/12</f>
        <v>90.749999999999204</v>
      </c>
      <c r="BJ1091" s="1">
        <f t="shared" ref="BJ1091:BJ1154" si="124">BJ1090*(1+$C$4/12) - $C$3</f>
        <v>-1486893.5446196299</v>
      </c>
      <c r="BK1091" s="1">
        <f t="shared" si="118"/>
        <v>-1575814.8371692409</v>
      </c>
      <c r="BL1091" s="26">
        <f t="shared" si="120"/>
        <v>0</v>
      </c>
      <c r="BM1091" s="26">
        <f t="shared" si="119"/>
        <v>0</v>
      </c>
      <c r="BN1091">
        <f t="shared" si="121"/>
        <v>90.749999999999204</v>
      </c>
      <c r="BO1091">
        <f t="shared" si="122"/>
        <v>90.749999999999204</v>
      </c>
    </row>
    <row r="1092" spans="61:67" x14ac:dyDescent="0.25">
      <c r="BI1092" s="2">
        <f t="shared" si="123"/>
        <v>90.833333333332533</v>
      </c>
      <c r="BJ1092" s="1">
        <f t="shared" si="124"/>
        <v>-1491626.6401742566</v>
      </c>
      <c r="BK1092" s="1">
        <f t="shared" ref="BK1092:BK1155" si="125">BK1091*(1+$D$4/12)-$C$3-($D$3-$C$3)*BL1092</f>
        <v>-1580781.3511168102</v>
      </c>
      <c r="BL1092" s="26">
        <f t="shared" si="120"/>
        <v>0</v>
      </c>
      <c r="BM1092" s="26">
        <f t="shared" si="119"/>
        <v>0</v>
      </c>
      <c r="BN1092">
        <f t="shared" si="121"/>
        <v>90.833333333332533</v>
      </c>
      <c r="BO1092">
        <f t="shared" si="122"/>
        <v>90.833333333332533</v>
      </c>
    </row>
    <row r="1093" spans="61:67" x14ac:dyDescent="0.25">
      <c r="BI1093" s="2">
        <f t="shared" si="123"/>
        <v>90.916666666665861</v>
      </c>
      <c r="BJ1093" s="1">
        <f t="shared" si="124"/>
        <v>-1496372.1601047141</v>
      </c>
      <c r="BK1093" s="1">
        <f t="shared" si="125"/>
        <v>-1585760.9021634921</v>
      </c>
      <c r="BL1093" s="26">
        <f t="shared" si="120"/>
        <v>0</v>
      </c>
      <c r="BM1093" s="26">
        <f t="shared" si="119"/>
        <v>0</v>
      </c>
      <c r="BN1093">
        <f t="shared" si="121"/>
        <v>90.916666666665861</v>
      </c>
      <c r="BO1093">
        <f t="shared" si="122"/>
        <v>90.916666666665861</v>
      </c>
    </row>
    <row r="1094" spans="61:67" x14ac:dyDescent="0.25">
      <c r="BI1094" s="2">
        <f t="shared" si="123"/>
        <v>90.99999999999919</v>
      </c>
      <c r="BJ1094" s="1">
        <f t="shared" si="124"/>
        <v>-1501130.1370249891</v>
      </c>
      <c r="BK1094" s="1">
        <f t="shared" si="125"/>
        <v>-1590753.5245316713</v>
      </c>
      <c r="BL1094" s="26">
        <f t="shared" si="120"/>
        <v>0</v>
      </c>
      <c r="BM1094" s="26">
        <f t="shared" si="119"/>
        <v>0</v>
      </c>
      <c r="BN1094">
        <f t="shared" si="121"/>
        <v>90.99999999999919</v>
      </c>
      <c r="BO1094">
        <f t="shared" si="122"/>
        <v>90.99999999999919</v>
      </c>
    </row>
    <row r="1095" spans="61:67" x14ac:dyDescent="0.25">
      <c r="BI1095" s="2">
        <f t="shared" si="123"/>
        <v>91.083333333332519</v>
      </c>
      <c r="BJ1095" s="1">
        <f t="shared" si="124"/>
        <v>-1505900.6036346799</v>
      </c>
      <c r="BK1095" s="1">
        <f t="shared" si="125"/>
        <v>-1595759.2525335671</v>
      </c>
      <c r="BL1095" s="26">
        <f t="shared" si="120"/>
        <v>0</v>
      </c>
      <c r="BM1095" s="26">
        <f t="shared" si="119"/>
        <v>0</v>
      </c>
      <c r="BN1095">
        <f t="shared" si="121"/>
        <v>91.083333333332519</v>
      </c>
      <c r="BO1095">
        <f t="shared" si="122"/>
        <v>91.083333333332519</v>
      </c>
    </row>
    <row r="1096" spans="61:67" x14ac:dyDescent="0.25">
      <c r="BI1096" s="2">
        <f t="shared" si="123"/>
        <v>91.166666666665847</v>
      </c>
      <c r="BJ1096" s="1">
        <f t="shared" si="124"/>
        <v>-1510683.592719221</v>
      </c>
      <c r="BK1096" s="1">
        <f t="shared" si="125"/>
        <v>-1600778.120571468</v>
      </c>
      <c r="BL1096" s="26">
        <f t="shared" si="120"/>
        <v>0</v>
      </c>
      <c r="BM1096" s="26">
        <f t="shared" si="119"/>
        <v>0</v>
      </c>
      <c r="BN1096">
        <f t="shared" si="121"/>
        <v>91.166666666665847</v>
      </c>
      <c r="BO1096">
        <f t="shared" si="122"/>
        <v>91.166666666665847</v>
      </c>
    </row>
    <row r="1097" spans="61:67" x14ac:dyDescent="0.25">
      <c r="BI1097" s="2">
        <f t="shared" si="123"/>
        <v>91.249999999999176</v>
      </c>
      <c r="BJ1097" s="1">
        <f t="shared" si="124"/>
        <v>-1515479.137150109</v>
      </c>
      <c r="BK1097" s="1">
        <f t="shared" si="125"/>
        <v>-1605810.1631379684</v>
      </c>
      <c r="BL1097" s="26">
        <f t="shared" si="120"/>
        <v>0</v>
      </c>
      <c r="BM1097" s="26">
        <f t="shared" si="119"/>
        <v>0</v>
      </c>
      <c r="BN1097">
        <f t="shared" si="121"/>
        <v>91.249999999999176</v>
      </c>
      <c r="BO1097">
        <f t="shared" si="122"/>
        <v>91.249999999999176</v>
      </c>
    </row>
    <row r="1098" spans="61:67" x14ac:dyDescent="0.25">
      <c r="BI1098" s="2">
        <f t="shared" si="123"/>
        <v>91.333333333332504</v>
      </c>
      <c r="BJ1098" s="1">
        <f t="shared" si="124"/>
        <v>-1520287.2698851281</v>
      </c>
      <c r="BK1098" s="1">
        <f t="shared" si="125"/>
        <v>-1610855.4148162056</v>
      </c>
      <c r="BL1098" s="26">
        <f t="shared" si="120"/>
        <v>0</v>
      </c>
      <c r="BM1098" s="26">
        <f t="shared" si="119"/>
        <v>0</v>
      </c>
      <c r="BN1098">
        <f t="shared" si="121"/>
        <v>91.333333333332504</v>
      </c>
      <c r="BO1098">
        <f t="shared" si="122"/>
        <v>91.333333333332504</v>
      </c>
    </row>
    <row r="1099" spans="61:67" x14ac:dyDescent="0.25">
      <c r="BI1099" s="2">
        <f t="shared" si="123"/>
        <v>91.416666666665833</v>
      </c>
      <c r="BJ1099" s="1">
        <f t="shared" si="124"/>
        <v>-1525108.0239685767</v>
      </c>
      <c r="BK1099" s="1">
        <f t="shared" si="125"/>
        <v>-1615913.9102800982</v>
      </c>
      <c r="BL1099" s="26">
        <f t="shared" si="120"/>
        <v>0</v>
      </c>
      <c r="BM1099" s="26">
        <f t="shared" si="119"/>
        <v>0</v>
      </c>
      <c r="BN1099">
        <f t="shared" si="121"/>
        <v>91.416666666665833</v>
      </c>
      <c r="BO1099">
        <f t="shared" si="122"/>
        <v>91.416666666665833</v>
      </c>
    </row>
    <row r="1100" spans="61:67" x14ac:dyDescent="0.25">
      <c r="BI1100" s="2">
        <f t="shared" si="123"/>
        <v>91.499999999999162</v>
      </c>
      <c r="BJ1100" s="1">
        <f t="shared" si="124"/>
        <v>-1529941.4325314944</v>
      </c>
      <c r="BK1100" s="1">
        <f t="shared" si="125"/>
        <v>-1620985.6842945837</v>
      </c>
      <c r="BL1100" s="26">
        <f t="shared" si="120"/>
        <v>0</v>
      </c>
      <c r="BM1100" s="26">
        <f t="shared" si="119"/>
        <v>0</v>
      </c>
      <c r="BN1100">
        <f t="shared" si="121"/>
        <v>91.499999999999162</v>
      </c>
      <c r="BO1100">
        <f t="shared" si="122"/>
        <v>91.499999999999162</v>
      </c>
    </row>
    <row r="1101" spans="61:67" x14ac:dyDescent="0.25">
      <c r="BI1101" s="2">
        <f t="shared" si="123"/>
        <v>91.58333333333249</v>
      </c>
      <c r="BJ1101" s="1">
        <f t="shared" si="124"/>
        <v>-1534787.5287918898</v>
      </c>
      <c r="BK1101" s="1">
        <f t="shared" si="125"/>
        <v>-1626070.7717158571</v>
      </c>
      <c r="BL1101" s="26">
        <f t="shared" si="120"/>
        <v>0</v>
      </c>
      <c r="BM1101" s="26">
        <f t="shared" si="119"/>
        <v>0</v>
      </c>
      <c r="BN1101">
        <f t="shared" si="121"/>
        <v>91.58333333333249</v>
      </c>
      <c r="BO1101">
        <f t="shared" si="122"/>
        <v>91.58333333333249</v>
      </c>
    </row>
    <row r="1102" spans="61:67" x14ac:dyDescent="0.25">
      <c r="BI1102" s="2">
        <f t="shared" si="123"/>
        <v>91.666666666665819</v>
      </c>
      <c r="BJ1102" s="1">
        <f t="shared" si="124"/>
        <v>-1539646.3460549687</v>
      </c>
      <c r="BK1102" s="1">
        <f t="shared" si="125"/>
        <v>-1631169.2074916114</v>
      </c>
      <c r="BL1102" s="26">
        <f t="shared" si="120"/>
        <v>0</v>
      </c>
      <c r="BM1102" s="26">
        <f t="shared" si="119"/>
        <v>0</v>
      </c>
      <c r="BN1102">
        <f t="shared" si="121"/>
        <v>91.666666666665819</v>
      </c>
      <c r="BO1102">
        <f t="shared" si="122"/>
        <v>91.666666666665819</v>
      </c>
    </row>
    <row r="1103" spans="61:67" x14ac:dyDescent="0.25">
      <c r="BI1103" s="2">
        <f t="shared" si="123"/>
        <v>91.749999999999147</v>
      </c>
      <c r="BJ1103" s="1">
        <f t="shared" si="124"/>
        <v>-1544517.9177133632</v>
      </c>
      <c r="BK1103" s="1">
        <f t="shared" si="125"/>
        <v>-1636281.0266612771</v>
      </c>
      <c r="BL1103" s="26">
        <f t="shared" si="120"/>
        <v>0</v>
      </c>
      <c r="BM1103" s="26">
        <f t="shared" si="119"/>
        <v>0</v>
      </c>
      <c r="BN1103">
        <f t="shared" si="121"/>
        <v>91.749999999999147</v>
      </c>
      <c r="BO1103">
        <f t="shared" si="122"/>
        <v>91.749999999999147</v>
      </c>
    </row>
    <row r="1104" spans="61:67" x14ac:dyDescent="0.25">
      <c r="BI1104" s="2">
        <f t="shared" si="123"/>
        <v>91.833333333332476</v>
      </c>
      <c r="BJ1104" s="1">
        <f t="shared" si="124"/>
        <v>-1549402.2772473609</v>
      </c>
      <c r="BK1104" s="1">
        <f t="shared" si="125"/>
        <v>-1641406.264356263</v>
      </c>
      <c r="BL1104" s="26">
        <f t="shared" si="120"/>
        <v>0</v>
      </c>
      <c r="BM1104" s="26">
        <f t="shared" si="119"/>
        <v>0</v>
      </c>
      <c r="BN1104">
        <f t="shared" si="121"/>
        <v>91.833333333332476</v>
      </c>
      <c r="BO1104">
        <f t="shared" si="122"/>
        <v>91.833333333332476</v>
      </c>
    </row>
    <row r="1105" spans="61:67" x14ac:dyDescent="0.25">
      <c r="BI1105" s="2">
        <f t="shared" si="123"/>
        <v>91.916666666665805</v>
      </c>
      <c r="BJ1105" s="1">
        <f t="shared" si="124"/>
        <v>-1554299.4582251355</v>
      </c>
      <c r="BK1105" s="1">
        <f t="shared" si="125"/>
        <v>-1646544.9558001983</v>
      </c>
      <c r="BL1105" s="26">
        <f t="shared" si="120"/>
        <v>0</v>
      </c>
      <c r="BM1105" s="26">
        <f t="shared" si="119"/>
        <v>0</v>
      </c>
      <c r="BN1105">
        <f t="shared" si="121"/>
        <v>91.916666666665805</v>
      </c>
      <c r="BO1105">
        <f t="shared" si="122"/>
        <v>91.916666666665805</v>
      </c>
    </row>
    <row r="1106" spans="61:67" x14ac:dyDescent="0.25">
      <c r="BI1106" s="2">
        <f t="shared" si="123"/>
        <v>91.999999999999133</v>
      </c>
      <c r="BJ1106" s="1">
        <f t="shared" si="124"/>
        <v>-1559209.4943029766</v>
      </c>
      <c r="BK1106" s="1">
        <f t="shared" si="125"/>
        <v>-1651697.1363091739</v>
      </c>
      <c r="BL1106" s="26">
        <f t="shared" si="120"/>
        <v>0</v>
      </c>
      <c r="BM1106" s="26">
        <f t="shared" si="119"/>
        <v>0</v>
      </c>
      <c r="BN1106">
        <f t="shared" si="121"/>
        <v>91.999999999999133</v>
      </c>
      <c r="BO1106">
        <f t="shared" si="122"/>
        <v>91.999999999999133</v>
      </c>
    </row>
    <row r="1107" spans="61:67" x14ac:dyDescent="0.25">
      <c r="BI1107" s="2">
        <f t="shared" si="123"/>
        <v>92.083333333332462</v>
      </c>
      <c r="BJ1107" s="1">
        <f t="shared" si="124"/>
        <v>-1564132.4192255221</v>
      </c>
      <c r="BK1107" s="1">
        <f t="shared" si="125"/>
        <v>-1656862.8412919857</v>
      </c>
      <c r="BL1107" s="26">
        <f t="shared" si="120"/>
        <v>0</v>
      </c>
      <c r="BM1107" s="26">
        <f t="shared" si="119"/>
        <v>0</v>
      </c>
      <c r="BN1107">
        <f t="shared" si="121"/>
        <v>92.083333333332462</v>
      </c>
      <c r="BO1107">
        <f t="shared" si="122"/>
        <v>92.083333333332462</v>
      </c>
    </row>
    <row r="1108" spans="61:67" x14ac:dyDescent="0.25">
      <c r="BI1108" s="2">
        <f t="shared" si="123"/>
        <v>92.16666666666579</v>
      </c>
      <c r="BJ1108" s="1">
        <f t="shared" si="124"/>
        <v>-1569068.2668259891</v>
      </c>
      <c r="BK1108" s="1">
        <f t="shared" si="125"/>
        <v>-1662042.1062503774</v>
      </c>
      <c r="BL1108" s="26">
        <f t="shared" si="120"/>
        <v>0</v>
      </c>
      <c r="BM1108" s="26">
        <f t="shared" si="119"/>
        <v>0</v>
      </c>
      <c r="BN1108">
        <f t="shared" si="121"/>
        <v>92.16666666666579</v>
      </c>
      <c r="BO1108">
        <f t="shared" si="122"/>
        <v>92.16666666666579</v>
      </c>
    </row>
    <row r="1109" spans="61:67" x14ac:dyDescent="0.25">
      <c r="BI1109" s="2">
        <f t="shared" si="123"/>
        <v>92.249999999999119</v>
      </c>
      <c r="BJ1109" s="1">
        <f t="shared" si="124"/>
        <v>-1574017.0710264074</v>
      </c>
      <c r="BK1109" s="1">
        <f t="shared" si="125"/>
        <v>-1667234.9667792849</v>
      </c>
      <c r="BL1109" s="26">
        <f t="shared" si="120"/>
        <v>0</v>
      </c>
      <c r="BM1109" s="26">
        <f t="shared" si="119"/>
        <v>0</v>
      </c>
      <c r="BN1109">
        <f t="shared" si="121"/>
        <v>92.249999999999119</v>
      </c>
      <c r="BO1109">
        <f t="shared" si="122"/>
        <v>92.249999999999119</v>
      </c>
    </row>
    <row r="1110" spans="61:67" x14ac:dyDescent="0.25">
      <c r="BI1110" s="2">
        <f t="shared" si="123"/>
        <v>92.333333333332448</v>
      </c>
      <c r="BJ1110" s="1">
        <f t="shared" si="124"/>
        <v>-1578978.865837852</v>
      </c>
      <c r="BK1110" s="1">
        <f t="shared" si="125"/>
        <v>-1672441.4585670806</v>
      </c>
      <c r="BL1110" s="26">
        <f t="shared" si="120"/>
        <v>0</v>
      </c>
      <c r="BM1110" s="26">
        <f t="shared" si="119"/>
        <v>0</v>
      </c>
      <c r="BN1110">
        <f t="shared" si="121"/>
        <v>92.333333333332448</v>
      </c>
      <c r="BO1110">
        <f t="shared" si="122"/>
        <v>92.333333333332448</v>
      </c>
    </row>
    <row r="1111" spans="61:67" x14ac:dyDescent="0.25">
      <c r="BI1111" s="2">
        <f t="shared" si="123"/>
        <v>92.416666666665776</v>
      </c>
      <c r="BJ1111" s="1">
        <f t="shared" si="124"/>
        <v>-1583953.6853606766</v>
      </c>
      <c r="BK1111" s="1">
        <f t="shared" si="125"/>
        <v>-1677661.6173958194</v>
      </c>
      <c r="BL1111" s="26">
        <f t="shared" si="120"/>
        <v>0</v>
      </c>
      <c r="BM1111" s="26">
        <f t="shared" si="119"/>
        <v>0</v>
      </c>
      <c r="BN1111">
        <f t="shared" si="121"/>
        <v>92.416666666665776</v>
      </c>
      <c r="BO1111">
        <f t="shared" si="122"/>
        <v>92.416666666665776</v>
      </c>
    </row>
    <row r="1112" spans="61:67" x14ac:dyDescent="0.25">
      <c r="BI1112" s="2">
        <f t="shared" si="123"/>
        <v>92.499999999999105</v>
      </c>
      <c r="BJ1112" s="1">
        <f t="shared" si="124"/>
        <v>-1588941.5637847485</v>
      </c>
      <c r="BK1112" s="1">
        <f t="shared" si="125"/>
        <v>-1682895.4791414835</v>
      </c>
      <c r="BL1112" s="26">
        <f t="shared" si="120"/>
        <v>0</v>
      </c>
      <c r="BM1112" s="26">
        <f t="shared" si="119"/>
        <v>0</v>
      </c>
      <c r="BN1112">
        <f t="shared" si="121"/>
        <v>92.499999999999105</v>
      </c>
      <c r="BO1112">
        <f t="shared" si="122"/>
        <v>92.499999999999105</v>
      </c>
    </row>
    <row r="1113" spans="61:67" x14ac:dyDescent="0.25">
      <c r="BI1113" s="2">
        <f t="shared" si="123"/>
        <v>92.583333333332433</v>
      </c>
      <c r="BJ1113" s="1">
        <f t="shared" si="124"/>
        <v>-1593942.5353896837</v>
      </c>
      <c r="BK1113" s="1">
        <f t="shared" si="125"/>
        <v>-1688143.07977423</v>
      </c>
      <c r="BL1113" s="26">
        <f t="shared" si="120"/>
        <v>0</v>
      </c>
      <c r="BM1113" s="26">
        <f t="shared" si="119"/>
        <v>0</v>
      </c>
      <c r="BN1113">
        <f t="shared" si="121"/>
        <v>92.583333333332433</v>
      </c>
      <c r="BO1113">
        <f t="shared" si="122"/>
        <v>92.583333333332433</v>
      </c>
    </row>
    <row r="1114" spans="61:67" x14ac:dyDescent="0.25">
      <c r="BI1114" s="2">
        <f t="shared" si="123"/>
        <v>92.666666666665762</v>
      </c>
      <c r="BJ1114" s="1">
        <f t="shared" si="124"/>
        <v>-1598956.6345450818</v>
      </c>
      <c r="BK1114" s="1">
        <f t="shared" si="125"/>
        <v>-1693404.4553586375</v>
      </c>
      <c r="BL1114" s="26">
        <f t="shared" si="120"/>
        <v>0</v>
      </c>
      <c r="BM1114" s="26">
        <f t="shared" si="119"/>
        <v>0</v>
      </c>
      <c r="BN1114">
        <f t="shared" si="121"/>
        <v>92.666666666665762</v>
      </c>
      <c r="BO1114">
        <f t="shared" si="122"/>
        <v>92.666666666665762</v>
      </c>
    </row>
    <row r="1115" spans="61:67" x14ac:dyDescent="0.25">
      <c r="BI1115" s="2">
        <f t="shared" si="123"/>
        <v>92.749999999999091</v>
      </c>
      <c r="BJ1115" s="1">
        <f t="shared" si="124"/>
        <v>-1603983.8957107628</v>
      </c>
      <c r="BK1115" s="1">
        <f t="shared" si="125"/>
        <v>-1698679.6420539541</v>
      </c>
      <c r="BL1115" s="26">
        <f t="shared" si="120"/>
        <v>0</v>
      </c>
      <c r="BM1115" s="26">
        <f t="shared" ref="BM1115:BM1178" si="126">IF(AND(BL1115&gt;0,BK1115&gt;0),1,0)</f>
        <v>0</v>
      </c>
      <c r="BN1115">
        <f t="shared" si="121"/>
        <v>92.749999999999091</v>
      </c>
      <c r="BO1115">
        <f t="shared" si="122"/>
        <v>92.749999999999091</v>
      </c>
    </row>
    <row r="1116" spans="61:67" x14ac:dyDescent="0.25">
      <c r="BI1116" s="2">
        <f t="shared" si="123"/>
        <v>92.833333333332419</v>
      </c>
      <c r="BJ1116" s="1">
        <f t="shared" si="124"/>
        <v>-1609024.3534370037</v>
      </c>
      <c r="BK1116" s="1">
        <f t="shared" si="125"/>
        <v>-1703968.6761143459</v>
      </c>
      <c r="BL1116" s="26">
        <f t="shared" si="120"/>
        <v>0</v>
      </c>
      <c r="BM1116" s="26">
        <f t="shared" si="126"/>
        <v>0</v>
      </c>
      <c r="BN1116">
        <f t="shared" si="121"/>
        <v>92.833333333332419</v>
      </c>
      <c r="BO1116">
        <f t="shared" si="122"/>
        <v>92.833333333332419</v>
      </c>
    </row>
    <row r="1117" spans="61:67" x14ac:dyDescent="0.25">
      <c r="BI1117" s="2">
        <f t="shared" si="123"/>
        <v>92.916666666665748</v>
      </c>
      <c r="BJ1117" s="1">
        <f t="shared" si="124"/>
        <v>-1614078.0423647759</v>
      </c>
      <c r="BK1117" s="1">
        <f t="shared" si="125"/>
        <v>-1709271.5938891461</v>
      </c>
      <c r="BL1117" s="26">
        <f t="shared" si="120"/>
        <v>0</v>
      </c>
      <c r="BM1117" s="26">
        <f t="shared" si="126"/>
        <v>0</v>
      </c>
      <c r="BN1117">
        <f t="shared" si="121"/>
        <v>92.916666666665748</v>
      </c>
      <c r="BO1117">
        <f t="shared" si="122"/>
        <v>92.916666666665748</v>
      </c>
    </row>
    <row r="1118" spans="61:67" x14ac:dyDescent="0.25">
      <c r="BI1118" s="2">
        <f t="shared" si="123"/>
        <v>92.999999999999076</v>
      </c>
      <c r="BJ1118" s="1">
        <f t="shared" si="124"/>
        <v>-1619144.9972259835</v>
      </c>
      <c r="BK1118" s="1">
        <f t="shared" si="125"/>
        <v>-1714588.4318231053</v>
      </c>
      <c r="BL1118" s="26">
        <f t="shared" si="120"/>
        <v>0</v>
      </c>
      <c r="BM1118" s="26">
        <f t="shared" si="126"/>
        <v>0</v>
      </c>
      <c r="BN1118">
        <f t="shared" si="121"/>
        <v>92.999999999999076</v>
      </c>
      <c r="BO1118">
        <f t="shared" si="122"/>
        <v>92.999999999999076</v>
      </c>
    </row>
    <row r="1119" spans="61:67" x14ac:dyDescent="0.25">
      <c r="BI1119" s="2">
        <f t="shared" si="123"/>
        <v>93.083333333332405</v>
      </c>
      <c r="BJ1119" s="1">
        <f t="shared" si="124"/>
        <v>-1624225.252843702</v>
      </c>
      <c r="BK1119" s="1">
        <f t="shared" si="125"/>
        <v>-1719919.2264566412</v>
      </c>
      <c r="BL1119" s="26">
        <f t="shared" si="120"/>
        <v>0</v>
      </c>
      <c r="BM1119" s="26">
        <f t="shared" si="126"/>
        <v>0</v>
      </c>
      <c r="BN1119">
        <f t="shared" si="121"/>
        <v>93.083333333332405</v>
      </c>
      <c r="BO1119">
        <f t="shared" si="122"/>
        <v>93.083333333332405</v>
      </c>
    </row>
    <row r="1120" spans="61:67" x14ac:dyDescent="0.25">
      <c r="BI1120" s="2">
        <f t="shared" si="123"/>
        <v>93.166666666665733</v>
      </c>
      <c r="BJ1120" s="1">
        <f t="shared" si="124"/>
        <v>-1629318.8441324169</v>
      </c>
      <c r="BK1120" s="1">
        <f t="shared" si="125"/>
        <v>-1725264.0144260901</v>
      </c>
      <c r="BL1120" s="26">
        <f t="shared" si="120"/>
        <v>0</v>
      </c>
      <c r="BM1120" s="26">
        <f t="shared" si="126"/>
        <v>0</v>
      </c>
      <c r="BN1120">
        <f t="shared" si="121"/>
        <v>93.166666666665733</v>
      </c>
      <c r="BO1120">
        <f t="shared" si="122"/>
        <v>93.166666666665733</v>
      </c>
    </row>
    <row r="1121" spans="61:67" x14ac:dyDescent="0.25">
      <c r="BI1121" s="2">
        <f t="shared" si="123"/>
        <v>93.249999999999062</v>
      </c>
      <c r="BJ1121" s="1">
        <f t="shared" si="124"/>
        <v>-1634425.8060982646</v>
      </c>
      <c r="BK1121" s="1">
        <f t="shared" si="125"/>
        <v>-1730622.8324639588</v>
      </c>
      <c r="BL1121" s="26">
        <f t="shared" si="120"/>
        <v>0</v>
      </c>
      <c r="BM1121" s="26">
        <f t="shared" si="126"/>
        <v>0</v>
      </c>
      <c r="BN1121">
        <f t="shared" si="121"/>
        <v>93.249999999999062</v>
      </c>
      <c r="BO1121">
        <f t="shared" si="122"/>
        <v>93.249999999999062</v>
      </c>
    </row>
    <row r="1122" spans="61:67" x14ac:dyDescent="0.25">
      <c r="BI1122" s="2">
        <f t="shared" si="123"/>
        <v>93.333333333332391</v>
      </c>
      <c r="BJ1122" s="1">
        <f t="shared" si="124"/>
        <v>-1639546.1738392727</v>
      </c>
      <c r="BK1122" s="1">
        <f t="shared" si="125"/>
        <v>-1735995.7173991769</v>
      </c>
      <c r="BL1122" s="26">
        <f t="shared" si="120"/>
        <v>0</v>
      </c>
      <c r="BM1122" s="26">
        <f t="shared" si="126"/>
        <v>0</v>
      </c>
      <c r="BN1122">
        <f t="shared" si="121"/>
        <v>93.333333333332391</v>
      </c>
      <c r="BO1122">
        <f t="shared" si="122"/>
        <v>93.333333333332391</v>
      </c>
    </row>
    <row r="1123" spans="61:67" x14ac:dyDescent="0.25">
      <c r="BI1123" s="2">
        <f t="shared" si="123"/>
        <v>93.416666666665719</v>
      </c>
      <c r="BJ1123" s="1">
        <f t="shared" si="124"/>
        <v>-1644679.982545601</v>
      </c>
      <c r="BK1123" s="1">
        <f t="shared" si="125"/>
        <v>-1741382.70615735</v>
      </c>
      <c r="BL1123" s="26">
        <f t="shared" si="120"/>
        <v>0</v>
      </c>
      <c r="BM1123" s="26">
        <f t="shared" si="126"/>
        <v>0</v>
      </c>
      <c r="BN1123">
        <f t="shared" si="121"/>
        <v>93.416666666665719</v>
      </c>
      <c r="BO1123">
        <f t="shared" si="122"/>
        <v>93.416666666665719</v>
      </c>
    </row>
    <row r="1124" spans="61:67" x14ac:dyDescent="0.25">
      <c r="BI1124" s="2">
        <f t="shared" si="123"/>
        <v>93.499999999999048</v>
      </c>
      <c r="BJ1124" s="1">
        <f t="shared" si="124"/>
        <v>-1649827.2674997833</v>
      </c>
      <c r="BK1124" s="1">
        <f t="shared" si="125"/>
        <v>-1746783.8357610132</v>
      </c>
      <c r="BL1124" s="26">
        <f t="shared" si="120"/>
        <v>0</v>
      </c>
      <c r="BM1124" s="26">
        <f t="shared" si="126"/>
        <v>0</v>
      </c>
      <c r="BN1124">
        <f t="shared" si="121"/>
        <v>93.499999999999048</v>
      </c>
      <c r="BO1124">
        <f t="shared" si="122"/>
        <v>93.499999999999048</v>
      </c>
    </row>
    <row r="1125" spans="61:67" x14ac:dyDescent="0.25">
      <c r="BI1125" s="2">
        <f t="shared" si="123"/>
        <v>93.583333333332376</v>
      </c>
      <c r="BJ1125" s="1">
        <f t="shared" si="124"/>
        <v>-1654988.0640769703</v>
      </c>
      <c r="BK1125" s="1">
        <f t="shared" si="125"/>
        <v>-1752199.143329886</v>
      </c>
      <c r="BL1125" s="26">
        <f t="shared" si="120"/>
        <v>0</v>
      </c>
      <c r="BM1125" s="26">
        <f t="shared" si="126"/>
        <v>0</v>
      </c>
      <c r="BN1125">
        <f t="shared" si="121"/>
        <v>93.583333333332376</v>
      </c>
      <c r="BO1125">
        <f t="shared" si="122"/>
        <v>93.583333333332376</v>
      </c>
    </row>
    <row r="1126" spans="61:67" x14ac:dyDescent="0.25">
      <c r="BI1126" s="2">
        <f t="shared" si="123"/>
        <v>93.666666666665705</v>
      </c>
      <c r="BJ1126" s="1">
        <f t="shared" si="124"/>
        <v>-1660162.4077451725</v>
      </c>
      <c r="BK1126" s="1">
        <f t="shared" si="125"/>
        <v>-1757628.6660811272</v>
      </c>
      <c r="BL1126" s="26">
        <f t="shared" si="120"/>
        <v>0</v>
      </c>
      <c r="BM1126" s="26">
        <f t="shared" si="126"/>
        <v>0</v>
      </c>
      <c r="BN1126">
        <f t="shared" si="121"/>
        <v>93.666666666665705</v>
      </c>
      <c r="BO1126">
        <f t="shared" si="122"/>
        <v>93.666666666665705</v>
      </c>
    </row>
    <row r="1127" spans="61:67" x14ac:dyDescent="0.25">
      <c r="BI1127" s="2">
        <f t="shared" si="123"/>
        <v>93.749999999999034</v>
      </c>
      <c r="BJ1127" s="1">
        <f t="shared" si="124"/>
        <v>-1665350.3340655037</v>
      </c>
      <c r="BK1127" s="1">
        <f t="shared" si="125"/>
        <v>-1763072.4413295903</v>
      </c>
      <c r="BL1127" s="26">
        <f t="shared" si="120"/>
        <v>0</v>
      </c>
      <c r="BM1127" s="26">
        <f t="shared" si="126"/>
        <v>0</v>
      </c>
      <c r="BN1127">
        <f t="shared" si="121"/>
        <v>93.749999999999034</v>
      </c>
      <c r="BO1127">
        <f t="shared" si="122"/>
        <v>93.749999999999034</v>
      </c>
    </row>
    <row r="1128" spans="61:67" x14ac:dyDescent="0.25">
      <c r="BI1128" s="2">
        <f t="shared" si="123"/>
        <v>93.833333333332362</v>
      </c>
      <c r="BJ1128" s="1">
        <f t="shared" si="124"/>
        <v>-1670551.8786924258</v>
      </c>
      <c r="BK1128" s="1">
        <f t="shared" si="125"/>
        <v>-1768530.5064880806</v>
      </c>
      <c r="BL1128" s="26">
        <f t="shared" si="120"/>
        <v>0</v>
      </c>
      <c r="BM1128" s="26">
        <f t="shared" si="126"/>
        <v>0</v>
      </c>
      <c r="BN1128">
        <f t="shared" si="121"/>
        <v>93.833333333332362</v>
      </c>
      <c r="BO1128">
        <f t="shared" si="122"/>
        <v>93.833333333332362</v>
      </c>
    </row>
    <row r="1129" spans="61:67" x14ac:dyDescent="0.25">
      <c r="BI1129" s="2">
        <f t="shared" si="123"/>
        <v>93.916666666665691</v>
      </c>
      <c r="BJ1129" s="1">
        <f t="shared" si="124"/>
        <v>-1675767.0773739936</v>
      </c>
      <c r="BK1129" s="1">
        <f t="shared" si="125"/>
        <v>-1774002.8990676119</v>
      </c>
      <c r="BL1129" s="26">
        <f t="shared" si="120"/>
        <v>0</v>
      </c>
      <c r="BM1129" s="26">
        <f t="shared" si="126"/>
        <v>0</v>
      </c>
      <c r="BN1129">
        <f t="shared" si="121"/>
        <v>93.916666666665691</v>
      </c>
      <c r="BO1129">
        <f t="shared" si="122"/>
        <v>93.916666666665691</v>
      </c>
    </row>
    <row r="1130" spans="61:67" x14ac:dyDescent="0.25">
      <c r="BI1130" s="2">
        <f t="shared" si="123"/>
        <v>93.999999999999019</v>
      </c>
      <c r="BJ1130" s="1">
        <f t="shared" si="124"/>
        <v>-1680995.9659521005</v>
      </c>
      <c r="BK1130" s="1">
        <f t="shared" si="125"/>
        <v>-1779489.6566776645</v>
      </c>
      <c r="BL1130" s="26">
        <f t="shared" si="120"/>
        <v>0</v>
      </c>
      <c r="BM1130" s="26">
        <f t="shared" si="126"/>
        <v>0</v>
      </c>
      <c r="BN1130">
        <f t="shared" si="121"/>
        <v>93.999999999999019</v>
      </c>
      <c r="BO1130">
        <f t="shared" si="122"/>
        <v>93.999999999999019</v>
      </c>
    </row>
    <row r="1131" spans="61:67" x14ac:dyDescent="0.25">
      <c r="BI1131" s="2">
        <f t="shared" si="123"/>
        <v>94.083333333332348</v>
      </c>
      <c r="BJ1131" s="1">
        <f t="shared" si="124"/>
        <v>-1686238.5803627248</v>
      </c>
      <c r="BK1131" s="1">
        <f t="shared" si="125"/>
        <v>-1784990.8170264435</v>
      </c>
      <c r="BL1131" s="26">
        <f t="shared" si="120"/>
        <v>0</v>
      </c>
      <c r="BM1131" s="26">
        <f t="shared" si="126"/>
        <v>0</v>
      </c>
      <c r="BN1131">
        <f t="shared" si="121"/>
        <v>94.083333333332348</v>
      </c>
      <c r="BO1131">
        <f t="shared" si="122"/>
        <v>94.083333333332348</v>
      </c>
    </row>
    <row r="1132" spans="61:67" x14ac:dyDescent="0.25">
      <c r="BI1132" s="2">
        <f t="shared" si="123"/>
        <v>94.166666666665677</v>
      </c>
      <c r="BJ1132" s="1">
        <f t="shared" si="124"/>
        <v>-1691494.9566361771</v>
      </c>
      <c r="BK1132" s="1">
        <f t="shared" si="125"/>
        <v>-1790506.4179211382</v>
      </c>
      <c r="BL1132" s="26">
        <f t="shared" si="120"/>
        <v>0</v>
      </c>
      <c r="BM1132" s="26">
        <f t="shared" si="126"/>
        <v>0</v>
      </c>
      <c r="BN1132">
        <f t="shared" si="121"/>
        <v>94.166666666665677</v>
      </c>
      <c r="BO1132">
        <f t="shared" si="122"/>
        <v>94.166666666665677</v>
      </c>
    </row>
    <row r="1133" spans="61:67" x14ac:dyDescent="0.25">
      <c r="BI1133" s="2">
        <f t="shared" si="123"/>
        <v>94.249999999999005</v>
      </c>
      <c r="BJ1133" s="1">
        <f t="shared" si="124"/>
        <v>-1696765.1308973473</v>
      </c>
      <c r="BK1133" s="1">
        <f t="shared" si="125"/>
        <v>-1796036.4972681813</v>
      </c>
      <c r="BL1133" s="26">
        <f t="shared" si="120"/>
        <v>0</v>
      </c>
      <c r="BM1133" s="26">
        <f t="shared" si="126"/>
        <v>0</v>
      </c>
      <c r="BN1133">
        <f t="shared" si="121"/>
        <v>94.249999999999005</v>
      </c>
      <c r="BO1133">
        <f t="shared" si="122"/>
        <v>94.249999999999005</v>
      </c>
    </row>
    <row r="1134" spans="61:67" x14ac:dyDescent="0.25">
      <c r="BI1134" s="2">
        <f t="shared" si="123"/>
        <v>94.333333333332334</v>
      </c>
      <c r="BJ1134" s="1">
        <f t="shared" si="124"/>
        <v>-1702049.1393659532</v>
      </c>
      <c r="BK1134" s="1">
        <f t="shared" si="125"/>
        <v>-1801581.0930735106</v>
      </c>
      <c r="BL1134" s="26">
        <f t="shared" si="120"/>
        <v>0</v>
      </c>
      <c r="BM1134" s="26">
        <f t="shared" si="126"/>
        <v>0</v>
      </c>
      <c r="BN1134">
        <f t="shared" si="121"/>
        <v>94.333333333332334</v>
      </c>
      <c r="BO1134">
        <f t="shared" si="122"/>
        <v>94.333333333332334</v>
      </c>
    </row>
    <row r="1135" spans="61:67" x14ac:dyDescent="0.25">
      <c r="BI1135" s="2">
        <f t="shared" si="123"/>
        <v>94.416666666665662</v>
      </c>
      <c r="BJ1135" s="1">
        <f t="shared" si="124"/>
        <v>-1707347.0183567889</v>
      </c>
      <c r="BK1135" s="1">
        <f t="shared" si="125"/>
        <v>-1807140.2434428288</v>
      </c>
      <c r="BL1135" s="26">
        <f t="shared" si="120"/>
        <v>0</v>
      </c>
      <c r="BM1135" s="26">
        <f t="shared" si="126"/>
        <v>0</v>
      </c>
      <c r="BN1135">
        <f t="shared" si="121"/>
        <v>94.416666666665662</v>
      </c>
      <c r="BO1135">
        <f t="shared" si="122"/>
        <v>94.416666666665662</v>
      </c>
    </row>
    <row r="1136" spans="61:67" x14ac:dyDescent="0.25">
      <c r="BI1136" s="2">
        <f t="shared" si="123"/>
        <v>94.499999999998991</v>
      </c>
      <c r="BJ1136" s="1">
        <f t="shared" si="124"/>
        <v>-1712658.8042799756</v>
      </c>
      <c r="BK1136" s="1">
        <f t="shared" si="125"/>
        <v>-1812713.9865818664</v>
      </c>
      <c r="BL1136" s="26">
        <f t="shared" si="120"/>
        <v>0</v>
      </c>
      <c r="BM1136" s="26">
        <f t="shared" si="126"/>
        <v>0</v>
      </c>
      <c r="BN1136">
        <f t="shared" si="121"/>
        <v>94.499999999998991</v>
      </c>
      <c r="BO1136">
        <f t="shared" si="122"/>
        <v>94.499999999998991</v>
      </c>
    </row>
    <row r="1137" spans="61:67" x14ac:dyDescent="0.25">
      <c r="BI1137" s="2">
        <f t="shared" si="123"/>
        <v>94.58333333333232</v>
      </c>
      <c r="BJ1137" s="1">
        <f t="shared" si="124"/>
        <v>-1717984.5336412108</v>
      </c>
      <c r="BK1137" s="1">
        <f t="shared" si="125"/>
        <v>-1818302.3607966439</v>
      </c>
      <c r="BL1137" s="26">
        <f t="shared" si="120"/>
        <v>0</v>
      </c>
      <c r="BM1137" s="26">
        <f t="shared" si="126"/>
        <v>0</v>
      </c>
      <c r="BN1137">
        <f t="shared" si="121"/>
        <v>94.58333333333232</v>
      </c>
      <c r="BO1137">
        <f t="shared" si="122"/>
        <v>94.58333333333232</v>
      </c>
    </row>
    <row r="1138" spans="61:67" x14ac:dyDescent="0.25">
      <c r="BI1138" s="2">
        <f t="shared" si="123"/>
        <v>94.666666666665648</v>
      </c>
      <c r="BJ1138" s="1">
        <f t="shared" si="124"/>
        <v>-1723324.2430420192</v>
      </c>
      <c r="BK1138" s="1">
        <f t="shared" si="125"/>
        <v>-1823905.4044937352</v>
      </c>
      <c r="BL1138" s="26">
        <f t="shared" si="120"/>
        <v>0</v>
      </c>
      <c r="BM1138" s="26">
        <f t="shared" si="126"/>
        <v>0</v>
      </c>
      <c r="BN1138">
        <f t="shared" si="121"/>
        <v>94.666666666665648</v>
      </c>
      <c r="BO1138">
        <f t="shared" si="122"/>
        <v>94.666666666665648</v>
      </c>
    </row>
    <row r="1139" spans="61:67" x14ac:dyDescent="0.25">
      <c r="BI1139" s="2">
        <f t="shared" si="123"/>
        <v>94.749999999998977</v>
      </c>
      <c r="BJ1139" s="1">
        <f t="shared" si="124"/>
        <v>-1728677.9691800047</v>
      </c>
      <c r="BK1139" s="1">
        <f t="shared" si="125"/>
        <v>-1829523.1561805315</v>
      </c>
      <c r="BL1139" s="26">
        <f t="shared" si="120"/>
        <v>0</v>
      </c>
      <c r="BM1139" s="26">
        <f t="shared" si="126"/>
        <v>0</v>
      </c>
      <c r="BN1139">
        <f t="shared" si="121"/>
        <v>94.749999999998977</v>
      </c>
      <c r="BO1139">
        <f t="shared" si="122"/>
        <v>94.749999999998977</v>
      </c>
    </row>
    <row r="1140" spans="61:67" x14ac:dyDescent="0.25">
      <c r="BI1140" s="2">
        <f t="shared" si="123"/>
        <v>94.833333333332305</v>
      </c>
      <c r="BJ1140" s="1">
        <f t="shared" si="124"/>
        <v>-1734045.7488491023</v>
      </c>
      <c r="BK1140" s="1">
        <f t="shared" si="125"/>
        <v>-1835155.6544655056</v>
      </c>
      <c r="BL1140" s="26">
        <f t="shared" si="120"/>
        <v>0</v>
      </c>
      <c r="BM1140" s="26">
        <f t="shared" si="126"/>
        <v>0</v>
      </c>
      <c r="BN1140">
        <f t="shared" si="121"/>
        <v>94.833333333332305</v>
      </c>
      <c r="BO1140">
        <f t="shared" si="122"/>
        <v>94.833333333332305</v>
      </c>
    </row>
    <row r="1141" spans="61:67" x14ac:dyDescent="0.25">
      <c r="BI1141" s="2">
        <f t="shared" si="123"/>
        <v>94.916666666665634</v>
      </c>
      <c r="BJ1141" s="1">
        <f t="shared" si="124"/>
        <v>-1739427.6189398314</v>
      </c>
      <c r="BK1141" s="1">
        <f t="shared" si="125"/>
        <v>-1840802.9380584778</v>
      </c>
      <c r="BL1141" s="26">
        <f t="shared" si="120"/>
        <v>0</v>
      </c>
      <c r="BM1141" s="26">
        <f t="shared" si="126"/>
        <v>0</v>
      </c>
      <c r="BN1141">
        <f t="shared" si="121"/>
        <v>94.916666666665634</v>
      </c>
      <c r="BO1141">
        <f t="shared" si="122"/>
        <v>94.916666666665634</v>
      </c>
    </row>
    <row r="1142" spans="61:67" x14ac:dyDescent="0.25">
      <c r="BI1142" s="2">
        <f t="shared" si="123"/>
        <v>94.999999999998963</v>
      </c>
      <c r="BJ1142" s="1">
        <f t="shared" si="124"/>
        <v>-1744823.6164395486</v>
      </c>
      <c r="BK1142" s="1">
        <f t="shared" si="125"/>
        <v>-1846465.0457708815</v>
      </c>
      <c r="BL1142" s="26">
        <f t="shared" si="120"/>
        <v>0</v>
      </c>
      <c r="BM1142" s="26">
        <f t="shared" si="126"/>
        <v>0</v>
      </c>
      <c r="BN1142">
        <f t="shared" si="121"/>
        <v>94.999999999998963</v>
      </c>
      <c r="BO1142">
        <f t="shared" si="122"/>
        <v>94.999999999998963</v>
      </c>
    </row>
    <row r="1143" spans="61:67" x14ac:dyDescent="0.25">
      <c r="BI1143" s="2">
        <f t="shared" si="123"/>
        <v>95.083333333332291</v>
      </c>
      <c r="BJ1143" s="1">
        <f t="shared" si="124"/>
        <v>-1750233.7784327026</v>
      </c>
      <c r="BK1143" s="1">
        <f t="shared" si="125"/>
        <v>-1852142.0165160303</v>
      </c>
      <c r="BL1143" s="26">
        <f t="shared" si="120"/>
        <v>0</v>
      </c>
      <c r="BM1143" s="26">
        <f t="shared" si="126"/>
        <v>0</v>
      </c>
      <c r="BN1143">
        <f t="shared" si="121"/>
        <v>95.083333333332291</v>
      </c>
      <c r="BO1143">
        <f t="shared" si="122"/>
        <v>95.083333333332291</v>
      </c>
    </row>
    <row r="1144" spans="61:67" x14ac:dyDescent="0.25">
      <c r="BI1144" s="2">
        <f t="shared" si="123"/>
        <v>95.16666666666562</v>
      </c>
      <c r="BJ1144" s="1">
        <f t="shared" si="124"/>
        <v>-1755658.1421010888</v>
      </c>
      <c r="BK1144" s="1">
        <f t="shared" si="125"/>
        <v>-1857833.8893093851</v>
      </c>
      <c r="BL1144" s="26">
        <f t="shared" si="120"/>
        <v>0</v>
      </c>
      <c r="BM1144" s="26">
        <f t="shared" si="126"/>
        <v>0</v>
      </c>
      <c r="BN1144">
        <f t="shared" si="121"/>
        <v>95.16666666666562</v>
      </c>
      <c r="BO1144">
        <f t="shared" si="122"/>
        <v>95.16666666666562</v>
      </c>
    </row>
    <row r="1145" spans="61:67" x14ac:dyDescent="0.25">
      <c r="BI1145" s="2">
        <f t="shared" si="123"/>
        <v>95.249999999998948</v>
      </c>
      <c r="BJ1145" s="1">
        <f t="shared" si="124"/>
        <v>-1761096.7447241044</v>
      </c>
      <c r="BK1145" s="1">
        <f t="shared" si="125"/>
        <v>-1863540.7032688225</v>
      </c>
      <c r="BL1145" s="26">
        <f t="shared" si="120"/>
        <v>0</v>
      </c>
      <c r="BM1145" s="26">
        <f t="shared" si="126"/>
        <v>0</v>
      </c>
      <c r="BN1145">
        <f t="shared" si="121"/>
        <v>95.249999999998948</v>
      </c>
      <c r="BO1145">
        <f t="shared" si="122"/>
        <v>95.249999999998948</v>
      </c>
    </row>
    <row r="1146" spans="61:67" x14ac:dyDescent="0.25">
      <c r="BI1146" s="2">
        <f t="shared" si="123"/>
        <v>95.333333333332277</v>
      </c>
      <c r="BJ1146" s="1">
        <f t="shared" si="124"/>
        <v>-1766549.6236790053</v>
      </c>
      <c r="BK1146" s="1">
        <f t="shared" si="125"/>
        <v>-1869262.4976149034</v>
      </c>
      <c r="BL1146" s="26">
        <f t="shared" si="120"/>
        <v>0</v>
      </c>
      <c r="BM1146" s="26">
        <f t="shared" si="126"/>
        <v>0</v>
      </c>
      <c r="BN1146">
        <f t="shared" si="121"/>
        <v>95.333333333332277</v>
      </c>
      <c r="BO1146">
        <f t="shared" si="122"/>
        <v>95.333333333332277</v>
      </c>
    </row>
    <row r="1147" spans="61:67" x14ac:dyDescent="0.25">
      <c r="BI1147" s="2">
        <f t="shared" si="123"/>
        <v>95.416666666665606</v>
      </c>
      <c r="BJ1147" s="1">
        <f t="shared" si="124"/>
        <v>-1772016.816441163</v>
      </c>
      <c r="BK1147" s="1">
        <f t="shared" si="125"/>
        <v>-1874999.3116711427</v>
      </c>
      <c r="BL1147" s="26">
        <f t="shared" si="120"/>
        <v>0</v>
      </c>
      <c r="BM1147" s="26">
        <f t="shared" si="126"/>
        <v>0</v>
      </c>
      <c r="BN1147">
        <f t="shared" si="121"/>
        <v>95.416666666665606</v>
      </c>
      <c r="BO1147">
        <f t="shared" si="122"/>
        <v>95.416666666665606</v>
      </c>
    </row>
    <row r="1148" spans="61:67" x14ac:dyDescent="0.25">
      <c r="BI1148" s="2">
        <f t="shared" si="123"/>
        <v>95.499999999998934</v>
      </c>
      <c r="BJ1148" s="1">
        <f t="shared" si="124"/>
        <v>-1777498.3605843212</v>
      </c>
      <c r="BK1148" s="1">
        <f t="shared" si="125"/>
        <v>-1880751.1848642796</v>
      </c>
      <c r="BL1148" s="26">
        <f t="shared" si="120"/>
        <v>0</v>
      </c>
      <c r="BM1148" s="26">
        <f t="shared" si="126"/>
        <v>0</v>
      </c>
      <c r="BN1148">
        <f t="shared" si="121"/>
        <v>95.499999999998934</v>
      </c>
      <c r="BO1148">
        <f t="shared" si="122"/>
        <v>95.499999999998934</v>
      </c>
    </row>
    <row r="1149" spans="61:67" x14ac:dyDescent="0.25">
      <c r="BI1149" s="2">
        <f t="shared" si="123"/>
        <v>95.583333333332263</v>
      </c>
      <c r="BJ1149" s="1">
        <f t="shared" si="124"/>
        <v>-1782994.2937808551</v>
      </c>
      <c r="BK1149" s="1">
        <f t="shared" si="125"/>
        <v>-1886518.1567245484</v>
      </c>
      <c r="BL1149" s="26">
        <f t="shared" si="120"/>
        <v>0</v>
      </c>
      <c r="BM1149" s="26">
        <f t="shared" si="126"/>
        <v>0</v>
      </c>
      <c r="BN1149">
        <f t="shared" si="121"/>
        <v>95.583333333332263</v>
      </c>
      <c r="BO1149">
        <f t="shared" si="122"/>
        <v>95.583333333332263</v>
      </c>
    </row>
    <row r="1150" spans="61:67" x14ac:dyDescent="0.25">
      <c r="BI1150" s="2">
        <f t="shared" si="123"/>
        <v>95.666666666665591</v>
      </c>
      <c r="BJ1150" s="1">
        <f t="shared" si="124"/>
        <v>-1788504.65380203</v>
      </c>
      <c r="BK1150" s="1">
        <f t="shared" si="125"/>
        <v>-1892300.2668859505</v>
      </c>
      <c r="BL1150" s="26">
        <f t="shared" si="120"/>
        <v>0</v>
      </c>
      <c r="BM1150" s="26">
        <f t="shared" si="126"/>
        <v>0</v>
      </c>
      <c r="BN1150">
        <f t="shared" si="121"/>
        <v>95.666666666665591</v>
      </c>
      <c r="BO1150">
        <f t="shared" si="122"/>
        <v>95.666666666665591</v>
      </c>
    </row>
    <row r="1151" spans="61:67" x14ac:dyDescent="0.25">
      <c r="BI1151" s="2">
        <f t="shared" si="123"/>
        <v>95.74999999999892</v>
      </c>
      <c r="BJ1151" s="1">
        <f t="shared" si="124"/>
        <v>-1794029.4785182606</v>
      </c>
      <c r="BK1151" s="1">
        <f t="shared" si="125"/>
        <v>-1898097.5550865263</v>
      </c>
      <c r="BL1151" s="26">
        <f t="shared" si="120"/>
        <v>0</v>
      </c>
      <c r="BM1151" s="26">
        <f t="shared" si="126"/>
        <v>0</v>
      </c>
      <c r="BN1151">
        <f t="shared" si="121"/>
        <v>95.74999999999892</v>
      </c>
      <c r="BO1151">
        <f t="shared" si="122"/>
        <v>95.74999999999892</v>
      </c>
    </row>
    <row r="1152" spans="61:67" x14ac:dyDescent="0.25">
      <c r="BI1152" s="2">
        <f t="shared" si="123"/>
        <v>95.833333333332249</v>
      </c>
      <c r="BJ1152" s="1">
        <f t="shared" si="124"/>
        <v>-1799568.8058993712</v>
      </c>
      <c r="BK1152" s="1">
        <f t="shared" si="125"/>
        <v>-1903910.0611686287</v>
      </c>
      <c r="BL1152" s="26">
        <f t="shared" si="120"/>
        <v>0</v>
      </c>
      <c r="BM1152" s="26">
        <f t="shared" si="126"/>
        <v>0</v>
      </c>
      <c r="BN1152">
        <f t="shared" si="121"/>
        <v>95.833333333332249</v>
      </c>
      <c r="BO1152">
        <f t="shared" si="122"/>
        <v>95.833333333332249</v>
      </c>
    </row>
    <row r="1153" spans="61:67" x14ac:dyDescent="0.25">
      <c r="BI1153" s="2">
        <f t="shared" si="123"/>
        <v>95.916666666665577</v>
      </c>
      <c r="BJ1153" s="1">
        <f t="shared" si="124"/>
        <v>-1805122.6740148573</v>
      </c>
      <c r="BK1153" s="1">
        <f t="shared" si="125"/>
        <v>-1909737.8250791966</v>
      </c>
      <c r="BL1153" s="26">
        <f t="shared" si="120"/>
        <v>0</v>
      </c>
      <c r="BM1153" s="26">
        <f t="shared" si="126"/>
        <v>0</v>
      </c>
      <c r="BN1153">
        <f t="shared" si="121"/>
        <v>95.916666666665577</v>
      </c>
      <c r="BO1153">
        <f t="shared" si="122"/>
        <v>95.916666666665577</v>
      </c>
    </row>
    <row r="1154" spans="61:67" x14ac:dyDescent="0.25">
      <c r="BI1154" s="2">
        <f t="shared" si="123"/>
        <v>95.999999999998906</v>
      </c>
      <c r="BJ1154" s="1">
        <f t="shared" si="124"/>
        <v>-1810691.1210341465</v>
      </c>
      <c r="BK1154" s="1">
        <f t="shared" si="125"/>
        <v>-1915580.8868700296</v>
      </c>
      <c r="BL1154" s="26">
        <f t="shared" ref="BL1154:BL1217" si="127">IF(BI1154&gt;$G$12,0,1)</f>
        <v>0</v>
      </c>
      <c r="BM1154" s="26">
        <f t="shared" si="126"/>
        <v>0</v>
      </c>
      <c r="BN1154">
        <f t="shared" ref="BN1154:BN1217" si="128">IF(BK1154&lt;0,BI1154,999)</f>
        <v>95.999999999998906</v>
      </c>
      <c r="BO1154">
        <f t="shared" ref="BO1154:BO1217" si="129">IF(BJ1154&lt;0,BI1154,999)</f>
        <v>95.999999999998906</v>
      </c>
    </row>
    <row r="1155" spans="61:67" x14ac:dyDescent="0.25">
      <c r="BI1155" s="2">
        <f t="shared" ref="BI1155:BI1218" si="130">BI1154+1/12</f>
        <v>96.083333333332234</v>
      </c>
      <c r="BJ1155" s="1">
        <f t="shared" ref="BJ1155:BJ1218" si="131">BJ1154*(1+$C$4/12) - $C$3</f>
        <v>-1816274.1852268614</v>
      </c>
      <c r="BK1155" s="1">
        <f t="shared" si="125"/>
        <v>-1921439.2866980636</v>
      </c>
      <c r="BL1155" s="26">
        <f t="shared" si="127"/>
        <v>0</v>
      </c>
      <c r="BM1155" s="26">
        <f t="shared" si="126"/>
        <v>0</v>
      </c>
      <c r="BN1155">
        <f t="shared" si="128"/>
        <v>96.083333333332234</v>
      </c>
      <c r="BO1155">
        <f t="shared" si="129"/>
        <v>96.083333333332234</v>
      </c>
    </row>
    <row r="1156" spans="61:67" x14ac:dyDescent="0.25">
      <c r="BI1156" s="2">
        <f t="shared" si="130"/>
        <v>96.166666666665563</v>
      </c>
      <c r="BJ1156" s="1">
        <f t="shared" si="131"/>
        <v>-1821871.9049630822</v>
      </c>
      <c r="BK1156" s="1">
        <f t="shared" ref="BK1156:BK1219" si="132">BK1155*(1+$D$4/12)-$C$3-($D$3-$C$3)*BL1156</f>
        <v>-1927313.0648256461</v>
      </c>
      <c r="BL1156" s="26">
        <f t="shared" si="127"/>
        <v>0</v>
      </c>
      <c r="BM1156" s="26">
        <f t="shared" si="126"/>
        <v>0</v>
      </c>
      <c r="BN1156">
        <f t="shared" si="128"/>
        <v>96.166666666665563</v>
      </c>
      <c r="BO1156">
        <f t="shared" si="129"/>
        <v>96.166666666665563</v>
      </c>
    </row>
    <row r="1157" spans="61:67" x14ac:dyDescent="0.25">
      <c r="BI1157" s="2">
        <f t="shared" si="130"/>
        <v>96.249999999998892</v>
      </c>
      <c r="BJ1157" s="1">
        <f t="shared" si="131"/>
        <v>-1827484.3187136105</v>
      </c>
      <c r="BK1157" s="1">
        <f t="shared" si="132"/>
        <v>-1933202.2616208135</v>
      </c>
      <c r="BL1157" s="26">
        <f t="shared" si="127"/>
        <v>0</v>
      </c>
      <c r="BM1157" s="26">
        <f t="shared" si="126"/>
        <v>0</v>
      </c>
      <c r="BN1157">
        <f t="shared" si="128"/>
        <v>96.249999999998892</v>
      </c>
      <c r="BO1157">
        <f t="shared" si="129"/>
        <v>96.249999999998892</v>
      </c>
    </row>
    <row r="1158" spans="61:67" x14ac:dyDescent="0.25">
      <c r="BI1158" s="2">
        <f t="shared" si="130"/>
        <v>96.33333333333222</v>
      </c>
      <c r="BJ1158" s="1">
        <f t="shared" si="131"/>
        <v>-1833111.465050234</v>
      </c>
      <c r="BK1158" s="1">
        <f t="shared" si="132"/>
        <v>-1939106.9175575683</v>
      </c>
      <c r="BL1158" s="26">
        <f t="shared" si="127"/>
        <v>0</v>
      </c>
      <c r="BM1158" s="26">
        <f t="shared" si="126"/>
        <v>0</v>
      </c>
      <c r="BN1158">
        <f t="shared" si="128"/>
        <v>96.33333333333222</v>
      </c>
      <c r="BO1158">
        <f t="shared" si="129"/>
        <v>96.33333333333222</v>
      </c>
    </row>
    <row r="1159" spans="61:67" x14ac:dyDescent="0.25">
      <c r="BI1159" s="2">
        <f t="shared" si="130"/>
        <v>96.416666666665549</v>
      </c>
      <c r="BJ1159" s="1">
        <f t="shared" si="131"/>
        <v>-1838753.3826459909</v>
      </c>
      <c r="BK1159" s="1">
        <f t="shared" si="132"/>
        <v>-1945027.073216157</v>
      </c>
      <c r="BL1159" s="26">
        <f t="shared" si="127"/>
        <v>0</v>
      </c>
      <c r="BM1159" s="26">
        <f t="shared" si="126"/>
        <v>0</v>
      </c>
      <c r="BN1159">
        <f t="shared" si="128"/>
        <v>96.416666666665549</v>
      </c>
      <c r="BO1159">
        <f t="shared" si="129"/>
        <v>96.416666666665549</v>
      </c>
    </row>
    <row r="1160" spans="61:67" x14ac:dyDescent="0.25">
      <c r="BI1160" s="2">
        <f t="shared" si="130"/>
        <v>96.499999999998877</v>
      </c>
      <c r="BJ1160" s="1">
        <f t="shared" si="131"/>
        <v>-1844410.1102754369</v>
      </c>
      <c r="BK1160" s="1">
        <f t="shared" si="132"/>
        <v>-1950962.7692833496</v>
      </c>
      <c r="BL1160" s="26">
        <f t="shared" si="127"/>
        <v>0</v>
      </c>
      <c r="BM1160" s="26">
        <f t="shared" si="126"/>
        <v>0</v>
      </c>
      <c r="BN1160">
        <f t="shared" si="128"/>
        <v>96.499999999998877</v>
      </c>
      <c r="BO1160">
        <f t="shared" si="129"/>
        <v>96.499999999998877</v>
      </c>
    </row>
    <row r="1161" spans="61:67" x14ac:dyDescent="0.25">
      <c r="BI1161" s="2">
        <f t="shared" si="130"/>
        <v>96.583333333332206</v>
      </c>
      <c r="BJ1161" s="1">
        <f t="shared" si="131"/>
        <v>-1850081.68681491</v>
      </c>
      <c r="BK1161" s="1">
        <f t="shared" si="132"/>
        <v>-1956914.0465527186</v>
      </c>
      <c r="BL1161" s="26">
        <f t="shared" si="127"/>
        <v>0</v>
      </c>
      <c r="BM1161" s="26">
        <f t="shared" si="126"/>
        <v>0</v>
      </c>
      <c r="BN1161">
        <f t="shared" si="128"/>
        <v>96.583333333332206</v>
      </c>
      <c r="BO1161">
        <f t="shared" si="129"/>
        <v>96.583333333332206</v>
      </c>
    </row>
    <row r="1162" spans="61:67" x14ac:dyDescent="0.25">
      <c r="BI1162" s="2">
        <f t="shared" si="130"/>
        <v>96.666666666665535</v>
      </c>
      <c r="BJ1162" s="1">
        <f t="shared" si="131"/>
        <v>-1855768.1512427994</v>
      </c>
      <c r="BK1162" s="1">
        <f t="shared" si="132"/>
        <v>-1962880.9459249198</v>
      </c>
      <c r="BL1162" s="26">
        <f t="shared" si="127"/>
        <v>0</v>
      </c>
      <c r="BM1162" s="26">
        <f t="shared" si="126"/>
        <v>0</v>
      </c>
      <c r="BN1162">
        <f t="shared" si="128"/>
        <v>96.666666666665535</v>
      </c>
      <c r="BO1162">
        <f t="shared" si="129"/>
        <v>96.666666666665535</v>
      </c>
    </row>
    <row r="1163" spans="61:67" x14ac:dyDescent="0.25">
      <c r="BI1163" s="2">
        <f t="shared" si="130"/>
        <v>96.749999999998863</v>
      </c>
      <c r="BJ1163" s="1">
        <f t="shared" si="131"/>
        <v>-1861469.542639812</v>
      </c>
      <c r="BK1163" s="1">
        <f t="shared" si="132"/>
        <v>-1968863.508407973</v>
      </c>
      <c r="BL1163" s="26">
        <f t="shared" si="127"/>
        <v>0</v>
      </c>
      <c r="BM1163" s="26">
        <f t="shared" si="126"/>
        <v>0</v>
      </c>
      <c r="BN1163">
        <f t="shared" si="128"/>
        <v>96.749999999998863</v>
      </c>
      <c r="BO1163">
        <f t="shared" si="129"/>
        <v>96.749999999998863</v>
      </c>
    </row>
    <row r="1164" spans="61:67" x14ac:dyDescent="0.25">
      <c r="BI1164" s="2">
        <f t="shared" si="130"/>
        <v>96.833333333332192</v>
      </c>
      <c r="BJ1164" s="1">
        <f t="shared" si="131"/>
        <v>-1867185.9001892416</v>
      </c>
      <c r="BK1164" s="1">
        <f t="shared" si="132"/>
        <v>-1974861.7751175442</v>
      </c>
      <c r="BL1164" s="26">
        <f t="shared" si="127"/>
        <v>0</v>
      </c>
      <c r="BM1164" s="26">
        <f t="shared" si="126"/>
        <v>0</v>
      </c>
      <c r="BN1164">
        <f t="shared" si="128"/>
        <v>96.833333333332192</v>
      </c>
      <c r="BO1164">
        <f t="shared" si="129"/>
        <v>96.833333333332192</v>
      </c>
    </row>
    <row r="1165" spans="61:67" x14ac:dyDescent="0.25">
      <c r="BI1165" s="2">
        <f t="shared" si="130"/>
        <v>96.91666666666552</v>
      </c>
      <c r="BJ1165" s="1">
        <f t="shared" si="131"/>
        <v>-1872917.2631772386</v>
      </c>
      <c r="BK1165" s="1">
        <f t="shared" si="132"/>
        <v>-1980875.787277228</v>
      </c>
      <c r="BL1165" s="26">
        <f t="shared" si="127"/>
        <v>0</v>
      </c>
      <c r="BM1165" s="26">
        <f t="shared" si="126"/>
        <v>0</v>
      </c>
      <c r="BN1165">
        <f t="shared" si="128"/>
        <v>96.91666666666552</v>
      </c>
      <c r="BO1165">
        <f t="shared" si="129"/>
        <v>96.91666666666552</v>
      </c>
    </row>
    <row r="1166" spans="61:67" x14ac:dyDescent="0.25">
      <c r="BI1166" s="2">
        <f t="shared" si="130"/>
        <v>96.999999999998849</v>
      </c>
      <c r="BJ1166" s="1">
        <f t="shared" si="131"/>
        <v>-1878663.670993079</v>
      </c>
      <c r="BK1166" s="1">
        <f t="shared" si="132"/>
        <v>-1986905.5862188309</v>
      </c>
      <c r="BL1166" s="26">
        <f t="shared" si="127"/>
        <v>0</v>
      </c>
      <c r="BM1166" s="26">
        <f t="shared" si="126"/>
        <v>0</v>
      </c>
      <c r="BN1166">
        <f t="shared" si="128"/>
        <v>96.999999999998849</v>
      </c>
      <c r="BO1166">
        <f t="shared" si="129"/>
        <v>96.999999999998849</v>
      </c>
    </row>
    <row r="1167" spans="61:67" x14ac:dyDescent="0.25">
      <c r="BI1167" s="2">
        <f t="shared" si="130"/>
        <v>97.083333333332178</v>
      </c>
      <c r="BJ1167" s="1">
        <f t="shared" si="131"/>
        <v>-1884425.1631294361</v>
      </c>
      <c r="BK1167" s="1">
        <f t="shared" si="132"/>
        <v>-1992951.2133826555</v>
      </c>
      <c r="BL1167" s="26">
        <f t="shared" si="127"/>
        <v>0</v>
      </c>
      <c r="BM1167" s="26">
        <f t="shared" si="126"/>
        <v>0</v>
      </c>
      <c r="BN1167">
        <f t="shared" si="128"/>
        <v>97.083333333332178</v>
      </c>
      <c r="BO1167">
        <f t="shared" si="129"/>
        <v>97.083333333332178</v>
      </c>
    </row>
    <row r="1168" spans="61:67" x14ac:dyDescent="0.25">
      <c r="BI1168" s="2">
        <f t="shared" si="130"/>
        <v>97.166666666665506</v>
      </c>
      <c r="BJ1168" s="1">
        <f t="shared" si="131"/>
        <v>-1890201.7791826511</v>
      </c>
      <c r="BK1168" s="1">
        <f t="shared" si="132"/>
        <v>-1999012.7103177852</v>
      </c>
      <c r="BL1168" s="26">
        <f t="shared" si="127"/>
        <v>0</v>
      </c>
      <c r="BM1168" s="26">
        <f t="shared" si="126"/>
        <v>0</v>
      </c>
      <c r="BN1168">
        <f t="shared" si="128"/>
        <v>97.166666666665506</v>
      </c>
      <c r="BO1168">
        <f t="shared" si="129"/>
        <v>97.166666666665506</v>
      </c>
    </row>
    <row r="1169" spans="61:67" x14ac:dyDescent="0.25">
      <c r="BI1169" s="2">
        <f t="shared" si="130"/>
        <v>97.249999999998835</v>
      </c>
      <c r="BJ1169" s="1">
        <f t="shared" si="131"/>
        <v>-1895993.5588530058</v>
      </c>
      <c r="BK1169" s="1">
        <f t="shared" si="132"/>
        <v>-2005090.1186823696</v>
      </c>
      <c r="BL1169" s="26">
        <f t="shared" si="127"/>
        <v>0</v>
      </c>
      <c r="BM1169" s="26">
        <f t="shared" si="126"/>
        <v>0</v>
      </c>
      <c r="BN1169">
        <f t="shared" si="128"/>
        <v>97.249999999998835</v>
      </c>
      <c r="BO1169">
        <f t="shared" si="129"/>
        <v>97.249999999998835</v>
      </c>
    </row>
    <row r="1170" spans="61:67" x14ac:dyDescent="0.25">
      <c r="BI1170" s="2">
        <f t="shared" si="130"/>
        <v>97.333333333332163</v>
      </c>
      <c r="BJ1170" s="1">
        <f t="shared" si="131"/>
        <v>-1901800.5419449951</v>
      </c>
      <c r="BK1170" s="1">
        <f t="shared" si="132"/>
        <v>-2011183.480243911</v>
      </c>
      <c r="BL1170" s="26">
        <f t="shared" si="127"/>
        <v>0</v>
      </c>
      <c r="BM1170" s="26">
        <f t="shared" si="126"/>
        <v>0</v>
      </c>
      <c r="BN1170">
        <f t="shared" si="128"/>
        <v>97.333333333332163</v>
      </c>
      <c r="BO1170">
        <f t="shared" si="129"/>
        <v>97.333333333332163</v>
      </c>
    </row>
    <row r="1171" spans="61:67" x14ac:dyDescent="0.25">
      <c r="BI1171" s="2">
        <f t="shared" si="130"/>
        <v>97.416666666665492</v>
      </c>
      <c r="BJ1171" s="1">
        <f t="shared" si="131"/>
        <v>-1907622.7683676009</v>
      </c>
      <c r="BK1171" s="1">
        <f t="shared" si="132"/>
        <v>-2017292.8368795514</v>
      </c>
      <c r="BL1171" s="26">
        <f t="shared" si="127"/>
        <v>0</v>
      </c>
      <c r="BM1171" s="26">
        <f t="shared" si="126"/>
        <v>0</v>
      </c>
      <c r="BN1171">
        <f t="shared" si="128"/>
        <v>97.416666666665492</v>
      </c>
      <c r="BO1171">
        <f t="shared" si="129"/>
        <v>97.416666666665492</v>
      </c>
    </row>
    <row r="1172" spans="61:67" x14ac:dyDescent="0.25">
      <c r="BI1172" s="2">
        <f t="shared" si="130"/>
        <v>97.49999999999882</v>
      </c>
      <c r="BJ1172" s="1">
        <f t="shared" si="131"/>
        <v>-1913460.278134566</v>
      </c>
      <c r="BK1172" s="1">
        <f t="shared" si="132"/>
        <v>-2023418.2305763604</v>
      </c>
      <c r="BL1172" s="26">
        <f t="shared" si="127"/>
        <v>0</v>
      </c>
      <c r="BM1172" s="26">
        <f t="shared" si="126"/>
        <v>0</v>
      </c>
      <c r="BN1172">
        <f t="shared" si="128"/>
        <v>97.49999999999882</v>
      </c>
      <c r="BO1172">
        <f t="shared" si="129"/>
        <v>97.49999999999882</v>
      </c>
    </row>
    <row r="1173" spans="61:67" x14ac:dyDescent="0.25">
      <c r="BI1173" s="2">
        <f t="shared" si="130"/>
        <v>97.583333333332149</v>
      </c>
      <c r="BJ1173" s="1">
        <f t="shared" si="131"/>
        <v>-1919313.1113646694</v>
      </c>
      <c r="BK1173" s="1">
        <f t="shared" si="132"/>
        <v>-2029559.7034316235</v>
      </c>
      <c r="BL1173" s="26">
        <f t="shared" si="127"/>
        <v>0</v>
      </c>
      <c r="BM1173" s="26">
        <f t="shared" si="126"/>
        <v>0</v>
      </c>
      <c r="BN1173">
        <f t="shared" si="128"/>
        <v>97.583333333332149</v>
      </c>
      <c r="BO1173">
        <f t="shared" si="129"/>
        <v>97.583333333332149</v>
      </c>
    </row>
    <row r="1174" spans="61:67" x14ac:dyDescent="0.25">
      <c r="BI1174" s="2">
        <f t="shared" si="130"/>
        <v>97.666666666665478</v>
      </c>
      <c r="BJ1174" s="1">
        <f t="shared" si="131"/>
        <v>-1925181.3082820019</v>
      </c>
      <c r="BK1174" s="1">
        <f t="shared" si="132"/>
        <v>-2035717.2976531317</v>
      </c>
      <c r="BL1174" s="26">
        <f t="shared" si="127"/>
        <v>0</v>
      </c>
      <c r="BM1174" s="26">
        <f t="shared" si="126"/>
        <v>0</v>
      </c>
      <c r="BN1174">
        <f t="shared" si="128"/>
        <v>97.666666666665478</v>
      </c>
      <c r="BO1174">
        <f t="shared" si="129"/>
        <v>97.666666666665478</v>
      </c>
    </row>
    <row r="1175" spans="61:67" x14ac:dyDescent="0.25">
      <c r="BI1175" s="2">
        <f t="shared" si="130"/>
        <v>97.749999999998806</v>
      </c>
      <c r="BJ1175" s="1">
        <f t="shared" si="131"/>
        <v>-1931064.9092162424</v>
      </c>
      <c r="BK1175" s="1">
        <f t="shared" si="132"/>
        <v>-2041891.0555594712</v>
      </c>
      <c r="BL1175" s="26">
        <f t="shared" si="127"/>
        <v>0</v>
      </c>
      <c r="BM1175" s="26">
        <f t="shared" si="126"/>
        <v>0</v>
      </c>
      <c r="BN1175">
        <f t="shared" si="128"/>
        <v>97.749999999998806</v>
      </c>
      <c r="BO1175">
        <f t="shared" si="129"/>
        <v>97.749999999998806</v>
      </c>
    </row>
    <row r="1176" spans="61:67" x14ac:dyDescent="0.25">
      <c r="BI1176" s="2">
        <f t="shared" si="130"/>
        <v>97.833333333332135</v>
      </c>
      <c r="BJ1176" s="1">
        <f t="shared" si="131"/>
        <v>-1936963.9546029351</v>
      </c>
      <c r="BK1176" s="1">
        <f t="shared" si="132"/>
        <v>-2048081.0195803151</v>
      </c>
      <c r="BL1176" s="26">
        <f t="shared" si="127"/>
        <v>0</v>
      </c>
      <c r="BM1176" s="26">
        <f t="shared" si="126"/>
        <v>0</v>
      </c>
      <c r="BN1176">
        <f t="shared" si="128"/>
        <v>97.833333333332135</v>
      </c>
      <c r="BO1176">
        <f t="shared" si="129"/>
        <v>97.833333333332135</v>
      </c>
    </row>
    <row r="1177" spans="61:67" x14ac:dyDescent="0.25">
      <c r="BI1177" s="2">
        <f t="shared" si="130"/>
        <v>97.916666666665463</v>
      </c>
      <c r="BJ1177" s="1">
        <f t="shared" si="131"/>
        <v>-1942878.4849837681</v>
      </c>
      <c r="BK1177" s="1">
        <f t="shared" si="132"/>
        <v>-2054287.2322567136</v>
      </c>
      <c r="BL1177" s="26">
        <f t="shared" si="127"/>
        <v>0</v>
      </c>
      <c r="BM1177" s="26">
        <f t="shared" si="126"/>
        <v>0</v>
      </c>
      <c r="BN1177">
        <f t="shared" si="128"/>
        <v>97.916666666665463</v>
      </c>
      <c r="BO1177">
        <f t="shared" si="129"/>
        <v>97.916666666665463</v>
      </c>
    </row>
    <row r="1178" spans="61:67" x14ac:dyDescent="0.25">
      <c r="BI1178" s="2">
        <f t="shared" si="130"/>
        <v>97.999999999998792</v>
      </c>
      <c r="BJ1178" s="1">
        <f t="shared" si="131"/>
        <v>-1948808.5410068508</v>
      </c>
      <c r="BK1178" s="1">
        <f t="shared" si="132"/>
        <v>-2060509.7362413877</v>
      </c>
      <c r="BL1178" s="26">
        <f t="shared" si="127"/>
        <v>0</v>
      </c>
      <c r="BM1178" s="26">
        <f t="shared" si="126"/>
        <v>0</v>
      </c>
      <c r="BN1178">
        <f t="shared" si="128"/>
        <v>97.999999999998792</v>
      </c>
      <c r="BO1178">
        <f t="shared" si="129"/>
        <v>97.999999999998792</v>
      </c>
    </row>
    <row r="1179" spans="61:67" x14ac:dyDescent="0.25">
      <c r="BI1179" s="2">
        <f t="shared" si="130"/>
        <v>98.083333333332121</v>
      </c>
      <c r="BJ1179" s="1">
        <f t="shared" si="131"/>
        <v>-1954754.1634269939</v>
      </c>
      <c r="BK1179" s="1">
        <f t="shared" si="132"/>
        <v>-2066748.5742990216</v>
      </c>
      <c r="BL1179" s="26">
        <f t="shared" si="127"/>
        <v>0</v>
      </c>
      <c r="BM1179" s="26">
        <f t="shared" ref="BM1179:BM1242" si="133">IF(AND(BL1179&gt;0,BK1179&gt;0),1,0)</f>
        <v>0</v>
      </c>
      <c r="BN1179">
        <f t="shared" si="128"/>
        <v>98.083333333332121</v>
      </c>
      <c r="BO1179">
        <f t="shared" si="129"/>
        <v>98.083333333332121</v>
      </c>
    </row>
    <row r="1180" spans="61:67" x14ac:dyDescent="0.25">
      <c r="BI1180" s="2">
        <f t="shared" si="130"/>
        <v>98.166666666665449</v>
      </c>
      <c r="BJ1180" s="1">
        <f t="shared" si="131"/>
        <v>-1960715.39310599</v>
      </c>
      <c r="BK1180" s="1">
        <f t="shared" si="132"/>
        <v>-2073003.7893065568</v>
      </c>
      <c r="BL1180" s="26">
        <f t="shared" si="127"/>
        <v>0</v>
      </c>
      <c r="BM1180" s="26">
        <f t="shared" si="133"/>
        <v>0</v>
      </c>
      <c r="BN1180">
        <f t="shared" si="128"/>
        <v>98.166666666665449</v>
      </c>
      <c r="BO1180">
        <f t="shared" si="129"/>
        <v>98.166666666665449</v>
      </c>
    </row>
    <row r="1181" spans="61:67" x14ac:dyDescent="0.25">
      <c r="BI1181" s="2">
        <f t="shared" si="130"/>
        <v>98.249999999998778</v>
      </c>
      <c r="BJ1181" s="1">
        <f t="shared" si="131"/>
        <v>-1966692.2710128934</v>
      </c>
      <c r="BK1181" s="1">
        <f t="shared" si="132"/>
        <v>-2079275.4242534868</v>
      </c>
      <c r="BL1181" s="26">
        <f t="shared" si="127"/>
        <v>0</v>
      </c>
      <c r="BM1181" s="26">
        <f t="shared" si="133"/>
        <v>0</v>
      </c>
      <c r="BN1181">
        <f t="shared" si="128"/>
        <v>98.249999999998778</v>
      </c>
      <c r="BO1181">
        <f t="shared" si="129"/>
        <v>98.249999999998778</v>
      </c>
    </row>
    <row r="1182" spans="61:67" x14ac:dyDescent="0.25">
      <c r="BI1182" s="2">
        <f t="shared" si="130"/>
        <v>98.333333333332106</v>
      </c>
      <c r="BJ1182" s="1">
        <f t="shared" si="131"/>
        <v>-1972684.8382243025</v>
      </c>
      <c r="BK1182" s="1">
        <f t="shared" si="132"/>
        <v>-2085563.5222421524</v>
      </c>
      <c r="BL1182" s="26">
        <f t="shared" si="127"/>
        <v>0</v>
      </c>
      <c r="BM1182" s="26">
        <f t="shared" si="133"/>
        <v>0</v>
      </c>
      <c r="BN1182">
        <f t="shared" si="128"/>
        <v>98.333333333332106</v>
      </c>
      <c r="BO1182">
        <f t="shared" si="129"/>
        <v>98.333333333332106</v>
      </c>
    </row>
    <row r="1183" spans="61:67" x14ac:dyDescent="0.25">
      <c r="BI1183" s="2">
        <f t="shared" si="130"/>
        <v>98.416666666665435</v>
      </c>
      <c r="BJ1183" s="1">
        <f t="shared" si="131"/>
        <v>-1978693.1359246415</v>
      </c>
      <c r="BK1183" s="1">
        <f t="shared" si="132"/>
        <v>-2091868.1264880383</v>
      </c>
      <c r="BL1183" s="26">
        <f t="shared" si="127"/>
        <v>0</v>
      </c>
      <c r="BM1183" s="26">
        <f t="shared" si="133"/>
        <v>0</v>
      </c>
      <c r="BN1183">
        <f t="shared" si="128"/>
        <v>98.416666666665435</v>
      </c>
      <c r="BO1183">
        <f t="shared" si="129"/>
        <v>98.416666666665435</v>
      </c>
    </row>
    <row r="1184" spans="61:67" x14ac:dyDescent="0.25">
      <c r="BI1184" s="2">
        <f t="shared" si="130"/>
        <v>98.499999999998764</v>
      </c>
      <c r="BJ1184" s="1">
        <f t="shared" si="131"/>
        <v>-1984717.2054064439</v>
      </c>
      <c r="BK1184" s="1">
        <f t="shared" si="132"/>
        <v>-2098189.2803200698</v>
      </c>
      <c r="BL1184" s="26">
        <f t="shared" si="127"/>
        <v>0</v>
      </c>
      <c r="BM1184" s="26">
        <f t="shared" si="133"/>
        <v>0</v>
      </c>
      <c r="BN1184">
        <f t="shared" si="128"/>
        <v>98.499999999998764</v>
      </c>
      <c r="BO1184">
        <f t="shared" si="129"/>
        <v>98.499999999998764</v>
      </c>
    </row>
    <row r="1185" spans="61:67" x14ac:dyDescent="0.25">
      <c r="BI1185" s="2">
        <f t="shared" si="130"/>
        <v>98.583333333332092</v>
      </c>
      <c r="BJ1185" s="1">
        <f t="shared" si="131"/>
        <v>-1990757.0880706359</v>
      </c>
      <c r="BK1185" s="1">
        <f t="shared" si="132"/>
        <v>-2104527.0271809101</v>
      </c>
      <c r="BL1185" s="26">
        <f t="shared" si="127"/>
        <v>0</v>
      </c>
      <c r="BM1185" s="26">
        <f t="shared" si="133"/>
        <v>0</v>
      </c>
      <c r="BN1185">
        <f t="shared" si="128"/>
        <v>98.583333333332092</v>
      </c>
      <c r="BO1185">
        <f t="shared" si="129"/>
        <v>98.583333333332092</v>
      </c>
    </row>
    <row r="1186" spans="61:67" x14ac:dyDescent="0.25">
      <c r="BI1186" s="2">
        <f t="shared" si="130"/>
        <v>98.666666666665421</v>
      </c>
      <c r="BJ1186" s="1">
        <f t="shared" si="131"/>
        <v>-1996812.8254268216</v>
      </c>
      <c r="BK1186" s="1">
        <f t="shared" si="132"/>
        <v>-2110881.4106272603</v>
      </c>
      <c r="BL1186" s="26">
        <f t="shared" si="127"/>
        <v>0</v>
      </c>
      <c r="BM1186" s="26">
        <f t="shared" si="133"/>
        <v>0</v>
      </c>
      <c r="BN1186">
        <f t="shared" si="128"/>
        <v>98.666666666665421</v>
      </c>
      <c r="BO1186">
        <f t="shared" si="129"/>
        <v>98.666666666665421</v>
      </c>
    </row>
    <row r="1187" spans="61:67" x14ac:dyDescent="0.25">
      <c r="BI1187" s="2">
        <f t="shared" si="130"/>
        <v>98.749999999998749</v>
      </c>
      <c r="BJ1187" s="1">
        <f t="shared" si="131"/>
        <v>-2002884.4590935672</v>
      </c>
      <c r="BK1187" s="1">
        <f t="shared" si="132"/>
        <v>-2117252.474330157</v>
      </c>
      <c r="BL1187" s="26">
        <f t="shared" si="127"/>
        <v>0</v>
      </c>
      <c r="BM1187" s="26">
        <f t="shared" si="133"/>
        <v>0</v>
      </c>
      <c r="BN1187">
        <f t="shared" si="128"/>
        <v>98.749999999998749</v>
      </c>
      <c r="BO1187">
        <f t="shared" si="129"/>
        <v>98.749999999998749</v>
      </c>
    </row>
    <row r="1188" spans="61:67" x14ac:dyDescent="0.25">
      <c r="BI1188" s="2">
        <f t="shared" si="130"/>
        <v>98.833333333332078</v>
      </c>
      <c r="BJ1188" s="1">
        <f t="shared" si="131"/>
        <v>-2008972.0307986881</v>
      </c>
      <c r="BK1188" s="1">
        <f t="shared" si="132"/>
        <v>-2123640.2620752738</v>
      </c>
      <c r="BL1188" s="26">
        <f t="shared" si="127"/>
        <v>0</v>
      </c>
      <c r="BM1188" s="26">
        <f t="shared" si="133"/>
        <v>0</v>
      </c>
      <c r="BN1188">
        <f t="shared" si="128"/>
        <v>98.833333333332078</v>
      </c>
      <c r="BO1188">
        <f t="shared" si="129"/>
        <v>98.833333333332078</v>
      </c>
    </row>
    <row r="1189" spans="61:67" x14ac:dyDescent="0.25">
      <c r="BI1189" s="2">
        <f t="shared" si="130"/>
        <v>98.916666666665407</v>
      </c>
      <c r="BJ1189" s="1">
        <f t="shared" si="131"/>
        <v>-2015075.5823795348</v>
      </c>
      <c r="BK1189" s="1">
        <f t="shared" si="132"/>
        <v>-2130044.8177632215</v>
      </c>
      <c r="BL1189" s="26">
        <f t="shared" si="127"/>
        <v>0</v>
      </c>
      <c r="BM1189" s="26">
        <f t="shared" si="133"/>
        <v>0</v>
      </c>
      <c r="BN1189">
        <f t="shared" si="128"/>
        <v>98.916666666665407</v>
      </c>
      <c r="BO1189">
        <f t="shared" si="129"/>
        <v>98.916666666665407</v>
      </c>
    </row>
    <row r="1190" spans="61:67" x14ac:dyDescent="0.25">
      <c r="BI1190" s="2">
        <f t="shared" si="130"/>
        <v>98.999999999998735</v>
      </c>
      <c r="BJ1190" s="1">
        <f t="shared" si="131"/>
        <v>-2021195.1557832814</v>
      </c>
      <c r="BK1190" s="1">
        <f t="shared" si="132"/>
        <v>-2136466.18540985</v>
      </c>
      <c r="BL1190" s="26">
        <f t="shared" si="127"/>
        <v>0</v>
      </c>
      <c r="BM1190" s="26">
        <f t="shared" si="133"/>
        <v>0</v>
      </c>
      <c r="BN1190">
        <f t="shared" si="128"/>
        <v>98.999999999998735</v>
      </c>
      <c r="BO1190">
        <f t="shared" si="129"/>
        <v>98.999999999998735</v>
      </c>
    </row>
    <row r="1191" spans="61:67" x14ac:dyDescent="0.25">
      <c r="BI1191" s="2">
        <f t="shared" si="130"/>
        <v>99.083333333332064</v>
      </c>
      <c r="BJ1191" s="1">
        <f t="shared" si="131"/>
        <v>-2027330.7930672127</v>
      </c>
      <c r="BK1191" s="1">
        <f t="shared" si="132"/>
        <v>-2142904.409146551</v>
      </c>
      <c r="BL1191" s="26">
        <f t="shared" si="127"/>
        <v>0</v>
      </c>
      <c r="BM1191" s="26">
        <f t="shared" si="133"/>
        <v>0</v>
      </c>
      <c r="BN1191">
        <f t="shared" si="128"/>
        <v>99.083333333332064</v>
      </c>
      <c r="BO1191">
        <f t="shared" si="129"/>
        <v>99.083333333332064</v>
      </c>
    </row>
    <row r="1192" spans="61:67" x14ac:dyDescent="0.25">
      <c r="BI1192" s="2">
        <f t="shared" si="130"/>
        <v>99.166666666665392</v>
      </c>
      <c r="BJ1192" s="1">
        <f t="shared" si="131"/>
        <v>-2033482.5363990143</v>
      </c>
      <c r="BK1192" s="1">
        <f t="shared" si="132"/>
        <v>-2149359.5332205608</v>
      </c>
      <c r="BL1192" s="26">
        <f t="shared" si="127"/>
        <v>0</v>
      </c>
      <c r="BM1192" s="26">
        <f t="shared" si="133"/>
        <v>0</v>
      </c>
      <c r="BN1192">
        <f t="shared" si="128"/>
        <v>99.166666666665392</v>
      </c>
      <c r="BO1192">
        <f t="shared" si="129"/>
        <v>99.166666666665392</v>
      </c>
    </row>
    <row r="1193" spans="61:67" x14ac:dyDescent="0.25">
      <c r="BI1193" s="2">
        <f t="shared" si="130"/>
        <v>99.249999999998721</v>
      </c>
      <c r="BJ1193" s="1">
        <f t="shared" si="131"/>
        <v>-2039650.428057062</v>
      </c>
      <c r="BK1193" s="1">
        <f t="shared" si="132"/>
        <v>-2155831.6019952651</v>
      </c>
      <c r="BL1193" s="26">
        <f t="shared" si="127"/>
        <v>0</v>
      </c>
      <c r="BM1193" s="26">
        <f t="shared" si="133"/>
        <v>0</v>
      </c>
      <c r="BN1193">
        <f t="shared" si="128"/>
        <v>99.249999999998721</v>
      </c>
      <c r="BO1193">
        <f t="shared" si="129"/>
        <v>99.249999999998721</v>
      </c>
    </row>
    <row r="1194" spans="61:67" x14ac:dyDescent="0.25">
      <c r="BI1194" s="2">
        <f t="shared" si="130"/>
        <v>99.33333333333205</v>
      </c>
      <c r="BJ1194" s="1">
        <f t="shared" si="131"/>
        <v>-2045834.510430712</v>
      </c>
      <c r="BK1194" s="1">
        <f t="shared" si="132"/>
        <v>-2162320.6599505027</v>
      </c>
      <c r="BL1194" s="26">
        <f t="shared" si="127"/>
        <v>0</v>
      </c>
      <c r="BM1194" s="26">
        <f t="shared" si="133"/>
        <v>0</v>
      </c>
      <c r="BN1194">
        <f t="shared" si="128"/>
        <v>99.33333333333205</v>
      </c>
      <c r="BO1194">
        <f t="shared" si="129"/>
        <v>99.33333333333205</v>
      </c>
    </row>
    <row r="1195" spans="61:67" x14ac:dyDescent="0.25">
      <c r="BI1195" s="2">
        <f t="shared" si="130"/>
        <v>99.416666666665378</v>
      </c>
      <c r="BJ1195" s="1">
        <f t="shared" si="131"/>
        <v>-2052034.8260205928</v>
      </c>
      <c r="BK1195" s="1">
        <f t="shared" si="132"/>
        <v>-2168826.7516828729</v>
      </c>
      <c r="BL1195" s="26">
        <f t="shared" si="127"/>
        <v>0</v>
      </c>
      <c r="BM1195" s="26">
        <f t="shared" si="133"/>
        <v>0</v>
      </c>
      <c r="BN1195">
        <f t="shared" si="128"/>
        <v>99.416666666665378</v>
      </c>
      <c r="BO1195">
        <f t="shared" si="129"/>
        <v>99.416666666665378</v>
      </c>
    </row>
    <row r="1196" spans="61:67" x14ac:dyDescent="0.25">
      <c r="BI1196" s="2">
        <f t="shared" si="130"/>
        <v>99.499999999998707</v>
      </c>
      <c r="BJ1196" s="1">
        <f t="shared" si="131"/>
        <v>-2058251.4174388971</v>
      </c>
      <c r="BK1196" s="1">
        <f t="shared" si="132"/>
        <v>-2175349.9219060405</v>
      </c>
      <c r="BL1196" s="26">
        <f t="shared" si="127"/>
        <v>0</v>
      </c>
      <c r="BM1196" s="26">
        <f t="shared" si="133"/>
        <v>0</v>
      </c>
      <c r="BN1196">
        <f t="shared" si="128"/>
        <v>99.499999999998707</v>
      </c>
      <c r="BO1196">
        <f t="shared" si="129"/>
        <v>99.499999999998707</v>
      </c>
    </row>
    <row r="1197" spans="61:67" x14ac:dyDescent="0.25">
      <c r="BI1197" s="2">
        <f t="shared" si="130"/>
        <v>99.583333333332035</v>
      </c>
      <c r="BJ1197" s="1">
        <f t="shared" si="131"/>
        <v>-2064484.3274096744</v>
      </c>
      <c r="BK1197" s="1">
        <f t="shared" si="132"/>
        <v>-2181890.215451044</v>
      </c>
      <c r="BL1197" s="26">
        <f t="shared" si="127"/>
        <v>0</v>
      </c>
      <c r="BM1197" s="26">
        <f t="shared" si="133"/>
        <v>0</v>
      </c>
      <c r="BN1197">
        <f t="shared" si="128"/>
        <v>99.583333333332035</v>
      </c>
      <c r="BO1197">
        <f t="shared" si="129"/>
        <v>99.583333333332035</v>
      </c>
    </row>
    <row r="1198" spans="61:67" x14ac:dyDescent="0.25">
      <c r="BI1198" s="2">
        <f t="shared" si="130"/>
        <v>99.666666666665364</v>
      </c>
      <c r="BJ1198" s="1">
        <f t="shared" si="131"/>
        <v>-2070733.5987691251</v>
      </c>
      <c r="BK1198" s="1">
        <f t="shared" si="132"/>
        <v>-2188447.6772666033</v>
      </c>
      <c r="BL1198" s="26">
        <f t="shared" si="127"/>
        <v>0</v>
      </c>
      <c r="BM1198" s="26">
        <f t="shared" si="133"/>
        <v>0</v>
      </c>
      <c r="BN1198">
        <f t="shared" si="128"/>
        <v>99.666666666665364</v>
      </c>
      <c r="BO1198">
        <f t="shared" si="129"/>
        <v>99.666666666665364</v>
      </c>
    </row>
    <row r="1199" spans="61:67" x14ac:dyDescent="0.25">
      <c r="BI1199" s="2">
        <f t="shared" si="130"/>
        <v>99.749999999998693</v>
      </c>
      <c r="BJ1199" s="1">
        <f t="shared" si="131"/>
        <v>-2076999.2744658943</v>
      </c>
      <c r="BK1199" s="1">
        <f t="shared" si="132"/>
        <v>-2195022.3524194285</v>
      </c>
      <c r="BL1199" s="26">
        <f t="shared" si="127"/>
        <v>0</v>
      </c>
      <c r="BM1199" s="26">
        <f t="shared" si="133"/>
        <v>0</v>
      </c>
      <c r="BN1199">
        <f t="shared" si="128"/>
        <v>99.749999999998693</v>
      </c>
      <c r="BO1199">
        <f t="shared" si="129"/>
        <v>99.749999999998693</v>
      </c>
    </row>
    <row r="1200" spans="61:67" x14ac:dyDescent="0.25">
      <c r="BI1200" s="2">
        <f t="shared" si="130"/>
        <v>99.833333333332021</v>
      </c>
      <c r="BJ1200" s="1">
        <f t="shared" si="131"/>
        <v>-2083281.3975613676</v>
      </c>
      <c r="BK1200" s="1">
        <f t="shared" si="132"/>
        <v>-2201614.2860945296</v>
      </c>
      <c r="BL1200" s="26">
        <f t="shared" si="127"/>
        <v>0</v>
      </c>
      <c r="BM1200" s="26">
        <f t="shared" si="133"/>
        <v>0</v>
      </c>
      <c r="BN1200">
        <f t="shared" si="128"/>
        <v>99.833333333332021</v>
      </c>
      <c r="BO1200">
        <f t="shared" si="129"/>
        <v>99.833333333332021</v>
      </c>
    </row>
    <row r="1201" spans="61:67" x14ac:dyDescent="0.25">
      <c r="BI1201" s="2">
        <f t="shared" si="130"/>
        <v>99.91666666666535</v>
      </c>
      <c r="BJ1201" s="1">
        <f t="shared" si="131"/>
        <v>-2089580.0112299663</v>
      </c>
      <c r="BK1201" s="1">
        <f t="shared" si="132"/>
        <v>-2208223.5235955277</v>
      </c>
      <c r="BL1201" s="26">
        <f t="shared" si="127"/>
        <v>0</v>
      </c>
      <c r="BM1201" s="26">
        <f t="shared" si="133"/>
        <v>0</v>
      </c>
      <c r="BN1201">
        <f t="shared" si="128"/>
        <v>99.91666666666535</v>
      </c>
      <c r="BO1201">
        <f t="shared" si="129"/>
        <v>99.91666666666535</v>
      </c>
    </row>
    <row r="1202" spans="61:67" x14ac:dyDescent="0.25">
      <c r="BI1202" s="2">
        <f t="shared" si="130"/>
        <v>99.999999999998678</v>
      </c>
      <c r="BJ1202" s="1">
        <f t="shared" si="131"/>
        <v>-2095895.1587594452</v>
      </c>
      <c r="BK1202" s="1">
        <f t="shared" si="132"/>
        <v>-2214850.1103449664</v>
      </c>
      <c r="BL1202" s="26">
        <f t="shared" si="127"/>
        <v>0</v>
      </c>
      <c r="BM1202" s="26">
        <f t="shared" si="133"/>
        <v>0</v>
      </c>
      <c r="BN1202">
        <f t="shared" si="128"/>
        <v>99.999999999998678</v>
      </c>
      <c r="BO1202">
        <f t="shared" si="129"/>
        <v>99.999999999998678</v>
      </c>
    </row>
    <row r="1203" spans="61:67" x14ac:dyDescent="0.25">
      <c r="BI1203" s="2">
        <f t="shared" si="130"/>
        <v>100.08333333333201</v>
      </c>
      <c r="BJ1203" s="1">
        <f t="shared" si="131"/>
        <v>-2102226.8835511887</v>
      </c>
      <c r="BK1203" s="1">
        <f t="shared" si="132"/>
        <v>-2221494.0918846224</v>
      </c>
      <c r="BL1203" s="26">
        <f t="shared" si="127"/>
        <v>0</v>
      </c>
      <c r="BM1203" s="26">
        <f t="shared" si="133"/>
        <v>0</v>
      </c>
      <c r="BN1203">
        <f t="shared" si="128"/>
        <v>100.08333333333201</v>
      </c>
      <c r="BO1203">
        <f t="shared" si="129"/>
        <v>100.08333333333201</v>
      </c>
    </row>
    <row r="1204" spans="61:67" x14ac:dyDescent="0.25">
      <c r="BI1204" s="2">
        <f t="shared" si="130"/>
        <v>100.16666666666534</v>
      </c>
      <c r="BJ1204" s="1">
        <f t="shared" si="131"/>
        <v>-2108575.2291205106</v>
      </c>
      <c r="BK1204" s="1">
        <f t="shared" si="132"/>
        <v>-2228155.5138758197</v>
      </c>
      <c r="BL1204" s="26">
        <f t="shared" si="127"/>
        <v>0</v>
      </c>
      <c r="BM1204" s="26">
        <f t="shared" si="133"/>
        <v>0</v>
      </c>
      <c r="BN1204">
        <f t="shared" si="128"/>
        <v>100.16666666666534</v>
      </c>
      <c r="BO1204">
        <f t="shared" si="129"/>
        <v>100.16666666666534</v>
      </c>
    </row>
    <row r="1205" spans="61:67" x14ac:dyDescent="0.25">
      <c r="BI1205" s="2">
        <f t="shared" si="130"/>
        <v>100.24999999999866</v>
      </c>
      <c r="BJ1205" s="1">
        <f t="shared" si="131"/>
        <v>-2114940.2390969521</v>
      </c>
      <c r="BK1205" s="1">
        <f t="shared" si="132"/>
        <v>-2234834.422099744</v>
      </c>
      <c r="BL1205" s="26">
        <f t="shared" si="127"/>
        <v>0</v>
      </c>
      <c r="BM1205" s="26">
        <f t="shared" si="133"/>
        <v>0</v>
      </c>
      <c r="BN1205">
        <f t="shared" si="128"/>
        <v>100.24999999999866</v>
      </c>
      <c r="BO1205">
        <f t="shared" si="129"/>
        <v>100.24999999999866</v>
      </c>
    </row>
    <row r="1206" spans="61:67" x14ac:dyDescent="0.25">
      <c r="BI1206" s="2">
        <f t="shared" si="130"/>
        <v>100.33333333333199</v>
      </c>
      <c r="BJ1206" s="1">
        <f t="shared" si="131"/>
        <v>-2121321.9572245819</v>
      </c>
      <c r="BK1206" s="1">
        <f t="shared" si="132"/>
        <v>-2241530.862457756</v>
      </c>
      <c r="BL1206" s="26">
        <f t="shared" si="127"/>
        <v>0</v>
      </c>
      <c r="BM1206" s="26">
        <f t="shared" si="133"/>
        <v>0</v>
      </c>
      <c r="BN1206">
        <f t="shared" si="128"/>
        <v>100.33333333333199</v>
      </c>
      <c r="BO1206">
        <f t="shared" si="129"/>
        <v>100.33333333333199</v>
      </c>
    </row>
    <row r="1207" spans="61:67" x14ac:dyDescent="0.25">
      <c r="BI1207" s="2">
        <f t="shared" si="130"/>
        <v>100.41666666666532</v>
      </c>
      <c r="BJ1207" s="1">
        <f t="shared" si="131"/>
        <v>-2127720.4273622967</v>
      </c>
      <c r="BK1207" s="1">
        <f t="shared" si="132"/>
        <v>-2248244.8809717079</v>
      </c>
      <c r="BL1207" s="26">
        <f t="shared" si="127"/>
        <v>0</v>
      </c>
      <c r="BM1207" s="26">
        <f t="shared" si="133"/>
        <v>0</v>
      </c>
      <c r="BN1207">
        <f t="shared" si="128"/>
        <v>100.41666666666532</v>
      </c>
      <c r="BO1207">
        <f t="shared" si="129"/>
        <v>100.41666666666532</v>
      </c>
    </row>
    <row r="1208" spans="61:67" x14ac:dyDescent="0.25">
      <c r="BI1208" s="2">
        <f t="shared" si="130"/>
        <v>100.49999999999865</v>
      </c>
      <c r="BJ1208" s="1">
        <f t="shared" si="131"/>
        <v>-2134135.6934841229</v>
      </c>
      <c r="BK1208" s="1">
        <f t="shared" si="132"/>
        <v>-2254976.5237842589</v>
      </c>
      <c r="BL1208" s="26">
        <f t="shared" si="127"/>
        <v>0</v>
      </c>
      <c r="BM1208" s="26">
        <f t="shared" si="133"/>
        <v>0</v>
      </c>
      <c r="BN1208">
        <f t="shared" si="128"/>
        <v>100.49999999999865</v>
      </c>
      <c r="BO1208">
        <f t="shared" si="129"/>
        <v>100.49999999999865</v>
      </c>
    </row>
    <row r="1209" spans="61:67" x14ac:dyDescent="0.25">
      <c r="BI1209" s="2">
        <f t="shared" si="130"/>
        <v>100.58333333333198</v>
      </c>
      <c r="BJ1209" s="1">
        <f t="shared" si="131"/>
        <v>-2140567.7996795187</v>
      </c>
      <c r="BK1209" s="1">
        <f t="shared" si="132"/>
        <v>-2261725.8371591927</v>
      </c>
      <c r="BL1209" s="26">
        <f t="shared" si="127"/>
        <v>0</v>
      </c>
      <c r="BM1209" s="26">
        <f t="shared" si="133"/>
        <v>0</v>
      </c>
      <c r="BN1209">
        <f t="shared" si="128"/>
        <v>100.58333333333198</v>
      </c>
      <c r="BO1209">
        <f t="shared" si="129"/>
        <v>100.58333333333198</v>
      </c>
    </row>
    <row r="1210" spans="61:67" x14ac:dyDescent="0.25">
      <c r="BI1210" s="2">
        <f t="shared" si="130"/>
        <v>100.66666666666531</v>
      </c>
      <c r="BJ1210" s="1">
        <f t="shared" si="131"/>
        <v>-2147016.7901536776</v>
      </c>
      <c r="BK1210" s="1">
        <f t="shared" si="132"/>
        <v>-2268492.8674817355</v>
      </c>
      <c r="BL1210" s="26">
        <f t="shared" si="127"/>
        <v>0</v>
      </c>
      <c r="BM1210" s="26">
        <f t="shared" si="133"/>
        <v>0</v>
      </c>
      <c r="BN1210">
        <f t="shared" si="128"/>
        <v>100.66666666666531</v>
      </c>
      <c r="BO1210">
        <f t="shared" si="129"/>
        <v>100.66666666666531</v>
      </c>
    </row>
    <row r="1211" spans="61:67" x14ac:dyDescent="0.25">
      <c r="BI1211" s="2">
        <f t="shared" si="130"/>
        <v>100.74999999999864</v>
      </c>
      <c r="BJ1211" s="1">
        <f t="shared" si="131"/>
        <v>-2153482.7092278311</v>
      </c>
      <c r="BK1211" s="1">
        <f t="shared" si="132"/>
        <v>-2275277.6612588754</v>
      </c>
      <c r="BL1211" s="26">
        <f t="shared" si="127"/>
        <v>0</v>
      </c>
      <c r="BM1211" s="26">
        <f t="shared" si="133"/>
        <v>0</v>
      </c>
      <c r="BN1211">
        <f t="shared" si="128"/>
        <v>100.74999999999864</v>
      </c>
      <c r="BO1211">
        <f t="shared" si="129"/>
        <v>100.74999999999864</v>
      </c>
    </row>
    <row r="1212" spans="61:67" x14ac:dyDescent="0.25">
      <c r="BI1212" s="2">
        <f t="shared" si="130"/>
        <v>100.83333333333196</v>
      </c>
      <c r="BJ1212" s="1">
        <f t="shared" si="131"/>
        <v>-2159965.6013395544</v>
      </c>
      <c r="BK1212" s="1">
        <f t="shared" si="132"/>
        <v>-2282080.2651196802</v>
      </c>
      <c r="BL1212" s="26">
        <f t="shared" si="127"/>
        <v>0</v>
      </c>
      <c r="BM1212" s="26">
        <f t="shared" si="133"/>
        <v>0</v>
      </c>
      <c r="BN1212">
        <f t="shared" si="128"/>
        <v>100.83333333333196</v>
      </c>
      <c r="BO1212">
        <f t="shared" si="129"/>
        <v>100.83333333333196</v>
      </c>
    </row>
    <row r="1213" spans="61:67" x14ac:dyDescent="0.25">
      <c r="BI1213" s="2">
        <f t="shared" si="130"/>
        <v>100.91666666666529</v>
      </c>
      <c r="BJ1213" s="1">
        <f t="shared" si="131"/>
        <v>-2166465.5110430708</v>
      </c>
      <c r="BK1213" s="1">
        <f t="shared" si="132"/>
        <v>-2288900.7258156198</v>
      </c>
      <c r="BL1213" s="26">
        <f t="shared" si="127"/>
        <v>0</v>
      </c>
      <c r="BM1213" s="26">
        <f t="shared" si="133"/>
        <v>0</v>
      </c>
      <c r="BN1213">
        <f t="shared" si="128"/>
        <v>100.91666666666529</v>
      </c>
      <c r="BO1213">
        <f t="shared" si="129"/>
        <v>100.91666666666529</v>
      </c>
    </row>
    <row r="1214" spans="61:67" x14ac:dyDescent="0.25">
      <c r="BI1214" s="2">
        <f t="shared" si="130"/>
        <v>100.99999999999862</v>
      </c>
      <c r="BJ1214" s="1">
        <f t="shared" si="131"/>
        <v>-2172982.4830095591</v>
      </c>
      <c r="BK1214" s="1">
        <f t="shared" si="132"/>
        <v>-2295739.0902208858</v>
      </c>
      <c r="BL1214" s="26">
        <f t="shared" si="127"/>
        <v>0</v>
      </c>
      <c r="BM1214" s="26">
        <f t="shared" si="133"/>
        <v>0</v>
      </c>
      <c r="BN1214">
        <f t="shared" si="128"/>
        <v>100.99999999999862</v>
      </c>
      <c r="BO1214">
        <f t="shared" si="129"/>
        <v>100.99999999999862</v>
      </c>
    </row>
    <row r="1215" spans="61:67" x14ac:dyDescent="0.25">
      <c r="BI1215" s="2">
        <f t="shared" si="130"/>
        <v>101.08333333333195</v>
      </c>
      <c r="BJ1215" s="1">
        <f t="shared" si="131"/>
        <v>-2179516.5620274595</v>
      </c>
      <c r="BK1215" s="1">
        <f t="shared" si="132"/>
        <v>-2302595.4053327157</v>
      </c>
      <c r="BL1215" s="26">
        <f t="shared" si="127"/>
        <v>0</v>
      </c>
      <c r="BM1215" s="26">
        <f t="shared" si="133"/>
        <v>0</v>
      </c>
      <c r="BN1215">
        <f t="shared" si="128"/>
        <v>101.08333333333195</v>
      </c>
      <c r="BO1215">
        <f t="shared" si="129"/>
        <v>101.08333333333195</v>
      </c>
    </row>
    <row r="1216" spans="61:67" x14ac:dyDescent="0.25">
      <c r="BI1216" s="2">
        <f t="shared" si="130"/>
        <v>101.16666666666528</v>
      </c>
      <c r="BJ1216" s="1">
        <f t="shared" si="131"/>
        <v>-2186067.7930027819</v>
      </c>
      <c r="BK1216" s="1">
        <f t="shared" si="132"/>
        <v>-2309469.7182717142</v>
      </c>
      <c r="BL1216" s="26">
        <f t="shared" si="127"/>
        <v>0</v>
      </c>
      <c r="BM1216" s="26">
        <f t="shared" si="133"/>
        <v>0</v>
      </c>
      <c r="BN1216">
        <f t="shared" si="128"/>
        <v>101.16666666666528</v>
      </c>
      <c r="BO1216">
        <f t="shared" si="129"/>
        <v>101.16666666666528</v>
      </c>
    </row>
    <row r="1217" spans="61:67" x14ac:dyDescent="0.25">
      <c r="BI1217" s="2">
        <f t="shared" si="130"/>
        <v>101.24999999999861</v>
      </c>
      <c r="BJ1217" s="1">
        <f t="shared" si="131"/>
        <v>-2192636.2209594143</v>
      </c>
      <c r="BK1217" s="1">
        <f t="shared" si="132"/>
        <v>-2316362.0762821776</v>
      </c>
      <c r="BL1217" s="26">
        <f t="shared" si="127"/>
        <v>0</v>
      </c>
      <c r="BM1217" s="26">
        <f t="shared" si="133"/>
        <v>0</v>
      </c>
      <c r="BN1217">
        <f t="shared" si="128"/>
        <v>101.24999999999861</v>
      </c>
      <c r="BO1217">
        <f t="shared" si="129"/>
        <v>101.24999999999861</v>
      </c>
    </row>
    <row r="1218" spans="61:67" x14ac:dyDescent="0.25">
      <c r="BI1218" s="2">
        <f t="shared" si="130"/>
        <v>101.33333333333194</v>
      </c>
      <c r="BJ1218" s="1">
        <f t="shared" si="131"/>
        <v>-2199221.891039433</v>
      </c>
      <c r="BK1218" s="1">
        <f t="shared" si="132"/>
        <v>-2323272.5267324187</v>
      </c>
      <c r="BL1218" s="26">
        <f t="shared" ref="BL1218:BL1281" si="134">IF(BI1218&gt;$G$12,0,1)</f>
        <v>0</v>
      </c>
      <c r="BM1218" s="26">
        <f t="shared" si="133"/>
        <v>0</v>
      </c>
      <c r="BN1218">
        <f t="shared" ref="BN1218:BN1281" si="135">IF(BK1218&lt;0,BI1218,999)</f>
        <v>101.33333333333194</v>
      </c>
      <c r="BO1218">
        <f t="shared" ref="BO1218:BO1281" si="136">IF(BJ1218&lt;0,BI1218,999)</f>
        <v>101.33333333333194</v>
      </c>
    </row>
    <row r="1219" spans="61:67" x14ac:dyDescent="0.25">
      <c r="BI1219" s="2">
        <f t="shared" ref="BI1219:BI1282" si="137">BI1218+1/12</f>
        <v>101.41666666666526</v>
      </c>
      <c r="BJ1219" s="1">
        <f t="shared" ref="BJ1219:BJ1282" si="138">BJ1218*(1+$C$4/12) - $C$3</f>
        <v>-2205824.8485034117</v>
      </c>
      <c r="BK1219" s="1">
        <f t="shared" si="132"/>
        <v>-2330201.1171150915</v>
      </c>
      <c r="BL1219" s="26">
        <f t="shared" si="134"/>
        <v>0</v>
      </c>
      <c r="BM1219" s="26">
        <f t="shared" si="133"/>
        <v>0</v>
      </c>
      <c r="BN1219">
        <f t="shared" si="135"/>
        <v>101.41666666666526</v>
      </c>
      <c r="BO1219">
        <f t="shared" si="136"/>
        <v>101.41666666666526</v>
      </c>
    </row>
    <row r="1220" spans="61:67" x14ac:dyDescent="0.25">
      <c r="BI1220" s="2">
        <f t="shared" si="137"/>
        <v>101.49999999999859</v>
      </c>
      <c r="BJ1220" s="1">
        <f t="shared" si="138"/>
        <v>-2212445.1387307337</v>
      </c>
      <c r="BK1220" s="1">
        <f t="shared" ref="BK1220:BK1283" si="139">BK1219*(1+$D$4/12)-$C$3-($D$3-$C$3)*BL1220</f>
        <v>-2337147.8950475189</v>
      </c>
      <c r="BL1220" s="26">
        <f t="shared" si="134"/>
        <v>0</v>
      </c>
      <c r="BM1220" s="26">
        <f t="shared" si="133"/>
        <v>0</v>
      </c>
      <c r="BN1220">
        <f t="shared" si="135"/>
        <v>101.49999999999859</v>
      </c>
      <c r="BO1220">
        <f t="shared" si="136"/>
        <v>101.49999999999859</v>
      </c>
    </row>
    <row r="1221" spans="61:67" x14ac:dyDescent="0.25">
      <c r="BI1221" s="2">
        <f t="shared" si="137"/>
        <v>101.58333333333192</v>
      </c>
      <c r="BJ1221" s="1">
        <f t="shared" si="138"/>
        <v>-2219082.8072199021</v>
      </c>
      <c r="BK1221" s="1">
        <f t="shared" si="139"/>
        <v>-2344112.9082720187</v>
      </c>
      <c r="BL1221" s="26">
        <f t="shared" si="134"/>
        <v>0</v>
      </c>
      <c r="BM1221" s="26">
        <f t="shared" si="133"/>
        <v>0</v>
      </c>
      <c r="BN1221">
        <f t="shared" si="135"/>
        <v>101.58333333333192</v>
      </c>
      <c r="BO1221">
        <f t="shared" si="136"/>
        <v>101.58333333333192</v>
      </c>
    </row>
    <row r="1222" spans="61:67" x14ac:dyDescent="0.25">
      <c r="BI1222" s="2">
        <f t="shared" si="137"/>
        <v>101.66666666666525</v>
      </c>
      <c r="BJ1222" s="1">
        <f t="shared" si="138"/>
        <v>-2225737.8995888545</v>
      </c>
      <c r="BK1222" s="1">
        <f t="shared" si="139"/>
        <v>-2351096.2046562331</v>
      </c>
      <c r="BL1222" s="26">
        <f t="shared" si="134"/>
        <v>0</v>
      </c>
      <c r="BM1222" s="26">
        <f t="shared" si="133"/>
        <v>0</v>
      </c>
      <c r="BN1222">
        <f t="shared" si="135"/>
        <v>101.66666666666525</v>
      </c>
      <c r="BO1222">
        <f t="shared" si="136"/>
        <v>101.66666666666525</v>
      </c>
    </row>
    <row r="1223" spans="61:67" x14ac:dyDescent="0.25">
      <c r="BI1223" s="2">
        <f t="shared" si="137"/>
        <v>101.74999999999858</v>
      </c>
      <c r="BJ1223" s="1">
        <f t="shared" si="138"/>
        <v>-2232410.4615752753</v>
      </c>
      <c r="BK1223" s="1">
        <f t="shared" si="139"/>
        <v>-2358097.8321934561</v>
      </c>
      <c r="BL1223" s="26">
        <f t="shared" si="134"/>
        <v>0</v>
      </c>
      <c r="BM1223" s="26">
        <f t="shared" si="133"/>
        <v>0</v>
      </c>
      <c r="BN1223">
        <f t="shared" si="135"/>
        <v>101.74999999999858</v>
      </c>
      <c r="BO1223">
        <f t="shared" si="136"/>
        <v>101.74999999999858</v>
      </c>
    </row>
    <row r="1224" spans="61:67" x14ac:dyDescent="0.25">
      <c r="BI1224" s="2">
        <f t="shared" si="137"/>
        <v>101.83333333333191</v>
      </c>
      <c r="BJ1224" s="1">
        <f t="shared" si="138"/>
        <v>-2239100.5390369105</v>
      </c>
      <c r="BK1224" s="1">
        <f t="shared" si="139"/>
        <v>-2365117.8390029641</v>
      </c>
      <c r="BL1224" s="26">
        <f t="shared" si="134"/>
        <v>0</v>
      </c>
      <c r="BM1224" s="26">
        <f t="shared" si="133"/>
        <v>0</v>
      </c>
      <c r="BN1224">
        <f t="shared" si="135"/>
        <v>101.83333333333191</v>
      </c>
      <c r="BO1224">
        <f t="shared" si="136"/>
        <v>101.83333333333191</v>
      </c>
    </row>
    <row r="1225" spans="61:67" x14ac:dyDescent="0.25">
      <c r="BI1225" s="2">
        <f t="shared" si="137"/>
        <v>101.91666666666524</v>
      </c>
      <c r="BJ1225" s="1">
        <f t="shared" si="138"/>
        <v>-2245808.1779518826</v>
      </c>
      <c r="BK1225" s="1">
        <f t="shared" si="139"/>
        <v>-2372156.2733303471</v>
      </c>
      <c r="BL1225" s="26">
        <f t="shared" si="134"/>
        <v>0</v>
      </c>
      <c r="BM1225" s="26">
        <f t="shared" si="133"/>
        <v>0</v>
      </c>
      <c r="BN1225">
        <f t="shared" si="135"/>
        <v>101.91666666666524</v>
      </c>
      <c r="BO1225">
        <f t="shared" si="136"/>
        <v>101.91666666666524</v>
      </c>
    </row>
    <row r="1226" spans="61:67" x14ac:dyDescent="0.25">
      <c r="BI1226" s="2">
        <f t="shared" si="137"/>
        <v>101.99999999999856</v>
      </c>
      <c r="BJ1226" s="1">
        <f t="shared" si="138"/>
        <v>-2252533.4244190063</v>
      </c>
      <c r="BK1226" s="1">
        <f t="shared" si="139"/>
        <v>-2379213.1835478395</v>
      </c>
      <c r="BL1226" s="26">
        <f t="shared" si="134"/>
        <v>0</v>
      </c>
      <c r="BM1226" s="26">
        <f t="shared" si="133"/>
        <v>0</v>
      </c>
      <c r="BN1226">
        <f t="shared" si="135"/>
        <v>101.99999999999856</v>
      </c>
      <c r="BO1226">
        <f t="shared" si="136"/>
        <v>101.99999999999856</v>
      </c>
    </row>
    <row r="1227" spans="61:67" x14ac:dyDescent="0.25">
      <c r="BI1227" s="2">
        <f t="shared" si="137"/>
        <v>102.08333333333189</v>
      </c>
      <c r="BJ1227" s="1">
        <f t="shared" si="138"/>
        <v>-2259276.3246581065</v>
      </c>
      <c r="BK1227" s="1">
        <f t="shared" si="139"/>
        <v>-2386288.6181546529</v>
      </c>
      <c r="BL1227" s="26">
        <f t="shared" si="134"/>
        <v>0</v>
      </c>
      <c r="BM1227" s="26">
        <f t="shared" si="133"/>
        <v>0</v>
      </c>
      <c r="BN1227">
        <f t="shared" si="135"/>
        <v>102.08333333333189</v>
      </c>
      <c r="BO1227">
        <f t="shared" si="136"/>
        <v>102.08333333333189</v>
      </c>
    </row>
    <row r="1228" spans="61:67" x14ac:dyDescent="0.25">
      <c r="BI1228" s="2">
        <f t="shared" si="137"/>
        <v>102.16666666666522</v>
      </c>
      <c r="BJ1228" s="1">
        <f t="shared" si="138"/>
        <v>-2266036.9250103342</v>
      </c>
      <c r="BK1228" s="1">
        <f t="shared" si="139"/>
        <v>-2393382.6257773093</v>
      </c>
      <c r="BL1228" s="26">
        <f t="shared" si="134"/>
        <v>0</v>
      </c>
      <c r="BM1228" s="26">
        <f t="shared" si="133"/>
        <v>0</v>
      </c>
      <c r="BN1228">
        <f t="shared" si="135"/>
        <v>102.16666666666522</v>
      </c>
      <c r="BO1228">
        <f t="shared" si="136"/>
        <v>102.16666666666522</v>
      </c>
    </row>
    <row r="1229" spans="61:67" x14ac:dyDescent="0.25">
      <c r="BI1229" s="2">
        <f t="shared" si="137"/>
        <v>102.24999999999855</v>
      </c>
      <c r="BJ1229" s="1">
        <f t="shared" si="138"/>
        <v>-2272815.2719384865</v>
      </c>
      <c r="BK1229" s="1">
        <f t="shared" si="139"/>
        <v>-2400495.2551699751</v>
      </c>
      <c r="BL1229" s="26">
        <f t="shared" si="134"/>
        <v>0</v>
      </c>
      <c r="BM1229" s="26">
        <f t="shared" si="133"/>
        <v>0</v>
      </c>
      <c r="BN1229">
        <f t="shared" si="135"/>
        <v>102.24999999999855</v>
      </c>
      <c r="BO1229">
        <f t="shared" si="136"/>
        <v>102.24999999999855</v>
      </c>
    </row>
    <row r="1230" spans="61:67" x14ac:dyDescent="0.25">
      <c r="BI1230" s="2">
        <f t="shared" si="137"/>
        <v>102.33333333333188</v>
      </c>
      <c r="BJ1230" s="1">
        <f t="shared" si="138"/>
        <v>-2279611.412027325</v>
      </c>
      <c r="BK1230" s="1">
        <f t="shared" si="139"/>
        <v>-2407626.5552147967</v>
      </c>
      <c r="BL1230" s="26">
        <f t="shared" si="134"/>
        <v>0</v>
      </c>
      <c r="BM1230" s="26">
        <f t="shared" si="133"/>
        <v>0</v>
      </c>
      <c r="BN1230">
        <f t="shared" si="135"/>
        <v>102.33333333333188</v>
      </c>
      <c r="BO1230">
        <f t="shared" si="136"/>
        <v>102.33333333333188</v>
      </c>
    </row>
    <row r="1231" spans="61:67" x14ac:dyDescent="0.25">
      <c r="BI1231" s="2">
        <f t="shared" si="137"/>
        <v>102.41666666666521</v>
      </c>
      <c r="BJ1231" s="1">
        <f t="shared" si="138"/>
        <v>-2286425.391983897</v>
      </c>
      <c r="BK1231" s="1">
        <f t="shared" si="139"/>
        <v>-2414776.5749222357</v>
      </c>
      <c r="BL1231" s="26">
        <f t="shared" si="134"/>
        <v>0</v>
      </c>
      <c r="BM1231" s="26">
        <f t="shared" si="133"/>
        <v>0</v>
      </c>
      <c r="BN1231">
        <f t="shared" si="135"/>
        <v>102.41666666666521</v>
      </c>
      <c r="BO1231">
        <f t="shared" si="136"/>
        <v>102.41666666666521</v>
      </c>
    </row>
    <row r="1232" spans="61:67" x14ac:dyDescent="0.25">
      <c r="BI1232" s="2">
        <f t="shared" si="137"/>
        <v>102.49999999999854</v>
      </c>
      <c r="BJ1232" s="1">
        <f t="shared" si="138"/>
        <v>-2293257.2586378548</v>
      </c>
      <c r="BK1232" s="1">
        <f t="shared" si="139"/>
        <v>-2421945.3634314067</v>
      </c>
      <c r="BL1232" s="26">
        <f t="shared" si="134"/>
        <v>0</v>
      </c>
      <c r="BM1232" s="26">
        <f t="shared" si="133"/>
        <v>0</v>
      </c>
      <c r="BN1232">
        <f t="shared" si="135"/>
        <v>102.49999999999854</v>
      </c>
      <c r="BO1232">
        <f t="shared" si="136"/>
        <v>102.49999999999854</v>
      </c>
    </row>
    <row r="1233" spans="61:67" x14ac:dyDescent="0.25">
      <c r="BI1233" s="2">
        <f t="shared" si="137"/>
        <v>102.58333333333186</v>
      </c>
      <c r="BJ1233" s="1">
        <f t="shared" si="138"/>
        <v>-2300107.0589417797</v>
      </c>
      <c r="BK1233" s="1">
        <f t="shared" si="139"/>
        <v>-2429132.9700104143</v>
      </c>
      <c r="BL1233" s="26">
        <f t="shared" si="134"/>
        <v>0</v>
      </c>
      <c r="BM1233" s="26">
        <f t="shared" si="133"/>
        <v>0</v>
      </c>
      <c r="BN1233">
        <f t="shared" si="135"/>
        <v>102.58333333333186</v>
      </c>
      <c r="BO1233">
        <f t="shared" si="136"/>
        <v>102.58333333333186</v>
      </c>
    </row>
    <row r="1234" spans="61:67" x14ac:dyDescent="0.25">
      <c r="BI1234" s="2">
        <f t="shared" si="137"/>
        <v>102.66666666666519</v>
      </c>
      <c r="BJ1234" s="1">
        <f t="shared" si="138"/>
        <v>-2306974.8399715018</v>
      </c>
      <c r="BK1234" s="1">
        <f t="shared" si="139"/>
        <v>-2436339.4440566916</v>
      </c>
      <c r="BL1234" s="26">
        <f t="shared" si="134"/>
        <v>0</v>
      </c>
      <c r="BM1234" s="26">
        <f t="shared" si="133"/>
        <v>0</v>
      </c>
      <c r="BN1234">
        <f t="shared" si="135"/>
        <v>102.66666666666519</v>
      </c>
      <c r="BO1234">
        <f t="shared" si="136"/>
        <v>102.66666666666519</v>
      </c>
    </row>
    <row r="1235" spans="61:67" x14ac:dyDescent="0.25">
      <c r="BI1235" s="2">
        <f t="shared" si="137"/>
        <v>102.74999999999852</v>
      </c>
      <c r="BJ1235" s="1">
        <f t="shared" si="138"/>
        <v>-2313860.6489264271</v>
      </c>
      <c r="BK1235" s="1">
        <f t="shared" si="139"/>
        <v>-2443564.8350973409</v>
      </c>
      <c r="BL1235" s="26">
        <f t="shared" si="134"/>
        <v>0</v>
      </c>
      <c r="BM1235" s="26">
        <f t="shared" si="133"/>
        <v>0</v>
      </c>
      <c r="BN1235">
        <f t="shared" si="135"/>
        <v>102.74999999999852</v>
      </c>
      <c r="BO1235">
        <f t="shared" si="136"/>
        <v>102.74999999999852</v>
      </c>
    </row>
    <row r="1236" spans="61:67" x14ac:dyDescent="0.25">
      <c r="BI1236" s="2">
        <f t="shared" si="137"/>
        <v>102.83333333333185</v>
      </c>
      <c r="BJ1236" s="1">
        <f t="shared" si="138"/>
        <v>-2320764.5331298593</v>
      </c>
      <c r="BK1236" s="1">
        <f t="shared" si="139"/>
        <v>-2450809.1927894717</v>
      </c>
      <c r="BL1236" s="26">
        <f t="shared" si="134"/>
        <v>0</v>
      </c>
      <c r="BM1236" s="26">
        <f t="shared" si="133"/>
        <v>0</v>
      </c>
      <c r="BN1236">
        <f t="shared" si="135"/>
        <v>102.83333333333185</v>
      </c>
      <c r="BO1236">
        <f t="shared" si="136"/>
        <v>102.83333333333185</v>
      </c>
    </row>
    <row r="1237" spans="61:67" x14ac:dyDescent="0.25">
      <c r="BI1237" s="2">
        <f t="shared" si="137"/>
        <v>102.91666666666518</v>
      </c>
      <c r="BJ1237" s="1">
        <f t="shared" si="138"/>
        <v>-2327686.5400293255</v>
      </c>
      <c r="BK1237" s="1">
        <f t="shared" si="139"/>
        <v>-2458072.5669205445</v>
      </c>
      <c r="BL1237" s="26">
        <f t="shared" si="134"/>
        <v>0</v>
      </c>
      <c r="BM1237" s="26">
        <f t="shared" si="133"/>
        <v>0</v>
      </c>
      <c r="BN1237">
        <f t="shared" si="135"/>
        <v>102.91666666666518</v>
      </c>
      <c r="BO1237">
        <f t="shared" si="136"/>
        <v>102.91666666666518</v>
      </c>
    </row>
    <row r="1238" spans="61:67" x14ac:dyDescent="0.25">
      <c r="BI1238" s="2">
        <f t="shared" si="137"/>
        <v>102.99999999999851</v>
      </c>
      <c r="BJ1238" s="1">
        <f t="shared" si="138"/>
        <v>-2334626.7171969027</v>
      </c>
      <c r="BK1238" s="1">
        <f t="shared" si="139"/>
        <v>-2465355.0074087111</v>
      </c>
      <c r="BL1238" s="26">
        <f t="shared" si="134"/>
        <v>0</v>
      </c>
      <c r="BM1238" s="26">
        <f t="shared" si="133"/>
        <v>0</v>
      </c>
      <c r="BN1238">
        <f t="shared" si="135"/>
        <v>102.99999999999851</v>
      </c>
      <c r="BO1238">
        <f t="shared" si="136"/>
        <v>102.99999999999851</v>
      </c>
    </row>
    <row r="1239" spans="61:67" x14ac:dyDescent="0.25">
      <c r="BI1239" s="2">
        <f t="shared" si="137"/>
        <v>103.08333333333184</v>
      </c>
      <c r="BJ1239" s="1">
        <f t="shared" si="138"/>
        <v>-2341585.112329545</v>
      </c>
      <c r="BK1239" s="1">
        <f t="shared" si="139"/>
        <v>-2472656.5643031592</v>
      </c>
      <c r="BL1239" s="26">
        <f t="shared" si="134"/>
        <v>0</v>
      </c>
      <c r="BM1239" s="26">
        <f t="shared" si="133"/>
        <v>0</v>
      </c>
      <c r="BN1239">
        <f t="shared" si="135"/>
        <v>103.08333333333184</v>
      </c>
      <c r="BO1239">
        <f t="shared" si="136"/>
        <v>103.08333333333184</v>
      </c>
    </row>
    <row r="1240" spans="61:67" x14ac:dyDescent="0.25">
      <c r="BI1240" s="2">
        <f t="shared" si="137"/>
        <v>103.16666666666517</v>
      </c>
      <c r="BJ1240" s="1">
        <f t="shared" si="138"/>
        <v>-2348561.7732494101</v>
      </c>
      <c r="BK1240" s="1">
        <f t="shared" si="139"/>
        <v>-2479977.2877844553</v>
      </c>
      <c r="BL1240" s="26">
        <f t="shared" si="134"/>
        <v>0</v>
      </c>
      <c r="BM1240" s="26">
        <f t="shared" si="133"/>
        <v>0</v>
      </c>
      <c r="BN1240">
        <f t="shared" si="135"/>
        <v>103.16666666666517</v>
      </c>
      <c r="BO1240">
        <f t="shared" si="136"/>
        <v>103.16666666666517</v>
      </c>
    </row>
    <row r="1241" spans="61:67" x14ac:dyDescent="0.25">
      <c r="BI1241" s="2">
        <f t="shared" si="137"/>
        <v>103.24999999999849</v>
      </c>
      <c r="BJ1241" s="1">
        <f t="shared" si="138"/>
        <v>-2355556.7479041899</v>
      </c>
      <c r="BK1241" s="1">
        <f t="shared" si="139"/>
        <v>-2487317.2281648898</v>
      </c>
      <c r="BL1241" s="26">
        <f t="shared" si="134"/>
        <v>0</v>
      </c>
      <c r="BM1241" s="26">
        <f t="shared" si="133"/>
        <v>0</v>
      </c>
      <c r="BN1241">
        <f t="shared" si="135"/>
        <v>103.24999999999849</v>
      </c>
      <c r="BO1241">
        <f t="shared" si="136"/>
        <v>103.24999999999849</v>
      </c>
    </row>
    <row r="1242" spans="61:67" x14ac:dyDescent="0.25">
      <c r="BI1242" s="2">
        <f t="shared" si="137"/>
        <v>103.33333333333182</v>
      </c>
      <c r="BJ1242" s="1">
        <f t="shared" si="138"/>
        <v>-2362570.0843674387</v>
      </c>
      <c r="BK1242" s="1">
        <f t="shared" si="139"/>
        <v>-2494676.4358888231</v>
      </c>
      <c r="BL1242" s="26">
        <f t="shared" si="134"/>
        <v>0</v>
      </c>
      <c r="BM1242" s="26">
        <f t="shared" si="133"/>
        <v>0</v>
      </c>
      <c r="BN1242">
        <f t="shared" si="135"/>
        <v>103.33333333333182</v>
      </c>
      <c r="BO1242">
        <f t="shared" si="136"/>
        <v>103.33333333333182</v>
      </c>
    </row>
    <row r="1243" spans="61:67" x14ac:dyDescent="0.25">
      <c r="BI1243" s="2">
        <f t="shared" si="137"/>
        <v>103.41666666666515</v>
      </c>
      <c r="BJ1243" s="1">
        <f t="shared" si="138"/>
        <v>-2369601.8308389033</v>
      </c>
      <c r="BK1243" s="1">
        <f t="shared" si="139"/>
        <v>-2502054.9615330314</v>
      </c>
      <c r="BL1243" s="26">
        <f t="shared" si="134"/>
        <v>0</v>
      </c>
      <c r="BM1243" s="26">
        <f t="shared" ref="BM1243:BM1306" si="140">IF(AND(BL1243&gt;0,BK1243&gt;0),1,0)</f>
        <v>0</v>
      </c>
      <c r="BN1243">
        <f t="shared" si="135"/>
        <v>103.41666666666515</v>
      </c>
      <c r="BO1243">
        <f t="shared" si="136"/>
        <v>103.41666666666515</v>
      </c>
    </row>
    <row r="1244" spans="61:67" x14ac:dyDescent="0.25">
      <c r="BI1244" s="2">
        <f t="shared" si="137"/>
        <v>103.49999999999848</v>
      </c>
      <c r="BJ1244" s="1">
        <f t="shared" si="138"/>
        <v>-2376652.0356448558</v>
      </c>
      <c r="BK1244" s="1">
        <f t="shared" si="139"/>
        <v>-2509452.8558070557</v>
      </c>
      <c r="BL1244" s="26">
        <f t="shared" si="134"/>
        <v>0</v>
      </c>
      <c r="BM1244" s="26">
        <f t="shared" si="140"/>
        <v>0</v>
      </c>
      <c r="BN1244">
        <f t="shared" si="135"/>
        <v>103.49999999999848</v>
      </c>
      <c r="BO1244">
        <f t="shared" si="136"/>
        <v>103.49999999999848</v>
      </c>
    </row>
    <row r="1245" spans="61:67" x14ac:dyDescent="0.25">
      <c r="BI1245" s="2">
        <f t="shared" si="137"/>
        <v>103.58333333333181</v>
      </c>
      <c r="BJ1245" s="1">
        <f t="shared" si="138"/>
        <v>-2383720.7472384237</v>
      </c>
      <c r="BK1245" s="1">
        <f t="shared" si="139"/>
        <v>-2516870.1695535495</v>
      </c>
      <c r="BL1245" s="26">
        <f t="shared" si="134"/>
        <v>0</v>
      </c>
      <c r="BM1245" s="26">
        <f t="shared" si="140"/>
        <v>0</v>
      </c>
      <c r="BN1245">
        <f t="shared" si="135"/>
        <v>103.58333333333181</v>
      </c>
      <c r="BO1245">
        <f t="shared" si="136"/>
        <v>103.58333333333181</v>
      </c>
    </row>
    <row r="1246" spans="61:67" x14ac:dyDescent="0.25">
      <c r="BI1246" s="2">
        <f t="shared" si="137"/>
        <v>103.66666666666514</v>
      </c>
      <c r="BJ1246" s="1">
        <f t="shared" si="138"/>
        <v>-2390808.0141999247</v>
      </c>
      <c r="BK1246" s="1">
        <f t="shared" si="139"/>
        <v>-2524306.953748628</v>
      </c>
      <c r="BL1246" s="26">
        <f t="shared" si="134"/>
        <v>0</v>
      </c>
      <c r="BM1246" s="26">
        <f t="shared" si="140"/>
        <v>0</v>
      </c>
      <c r="BN1246">
        <f t="shared" si="135"/>
        <v>103.66666666666514</v>
      </c>
      <c r="BO1246">
        <f t="shared" si="136"/>
        <v>103.66666666666514</v>
      </c>
    </row>
    <row r="1247" spans="61:67" x14ac:dyDescent="0.25">
      <c r="BI1247" s="2">
        <f t="shared" si="137"/>
        <v>103.74999999999847</v>
      </c>
      <c r="BJ1247" s="1">
        <f t="shared" si="138"/>
        <v>-2397913.8852371997</v>
      </c>
      <c r="BK1247" s="1">
        <f t="shared" si="139"/>
        <v>-2531763.2595022186</v>
      </c>
      <c r="BL1247" s="26">
        <f t="shared" si="134"/>
        <v>0</v>
      </c>
      <c r="BM1247" s="26">
        <f t="shared" si="140"/>
        <v>0</v>
      </c>
      <c r="BN1247">
        <f t="shared" si="135"/>
        <v>103.74999999999847</v>
      </c>
      <c r="BO1247">
        <f t="shared" si="136"/>
        <v>103.74999999999847</v>
      </c>
    </row>
    <row r="1248" spans="61:67" x14ac:dyDescent="0.25">
      <c r="BI1248" s="2">
        <f t="shared" si="137"/>
        <v>103.83333333333179</v>
      </c>
      <c r="BJ1248" s="1">
        <f t="shared" si="138"/>
        <v>-2405038.4091859474</v>
      </c>
      <c r="BK1248" s="1">
        <f t="shared" si="139"/>
        <v>-2539239.1380584124</v>
      </c>
      <c r="BL1248" s="26">
        <f t="shared" si="134"/>
        <v>0</v>
      </c>
      <c r="BM1248" s="26">
        <f t="shared" si="140"/>
        <v>0</v>
      </c>
      <c r="BN1248">
        <f t="shared" si="135"/>
        <v>103.83333333333179</v>
      </c>
      <c r="BO1248">
        <f t="shared" si="136"/>
        <v>103.83333333333179</v>
      </c>
    </row>
    <row r="1249" spans="61:67" x14ac:dyDescent="0.25">
      <c r="BI1249" s="2">
        <f t="shared" si="137"/>
        <v>103.91666666666512</v>
      </c>
      <c r="BJ1249" s="1">
        <f t="shared" si="138"/>
        <v>-2412181.6350100609</v>
      </c>
      <c r="BK1249" s="1">
        <f t="shared" si="139"/>
        <v>-2546734.6407958157</v>
      </c>
      <c r="BL1249" s="26">
        <f t="shared" si="134"/>
        <v>0</v>
      </c>
      <c r="BM1249" s="26">
        <f t="shared" si="140"/>
        <v>0</v>
      </c>
      <c r="BN1249">
        <f t="shared" si="135"/>
        <v>103.91666666666512</v>
      </c>
      <c r="BO1249">
        <f t="shared" si="136"/>
        <v>103.91666666666512</v>
      </c>
    </row>
    <row r="1250" spans="61:67" x14ac:dyDescent="0.25">
      <c r="BI1250" s="2">
        <f t="shared" si="137"/>
        <v>103.99999999999845</v>
      </c>
      <c r="BJ1250" s="1">
        <f t="shared" si="138"/>
        <v>-2419343.6118019624</v>
      </c>
      <c r="BK1250" s="1">
        <f t="shared" si="139"/>
        <v>-2554249.819227905</v>
      </c>
      <c r="BL1250" s="26">
        <f t="shared" si="134"/>
        <v>0</v>
      </c>
      <c r="BM1250" s="26">
        <f t="shared" si="140"/>
        <v>0</v>
      </c>
      <c r="BN1250">
        <f t="shared" si="135"/>
        <v>103.99999999999845</v>
      </c>
      <c r="BO1250">
        <f t="shared" si="136"/>
        <v>103.99999999999845</v>
      </c>
    </row>
    <row r="1251" spans="61:67" x14ac:dyDescent="0.25">
      <c r="BI1251" s="2">
        <f t="shared" si="137"/>
        <v>104.08333333333178</v>
      </c>
      <c r="BJ1251" s="1">
        <f t="shared" si="138"/>
        <v>-2426524.3887829427</v>
      </c>
      <c r="BK1251" s="1">
        <f t="shared" si="139"/>
        <v>-2561784.7250033785</v>
      </c>
      <c r="BL1251" s="26">
        <f t="shared" si="134"/>
        <v>0</v>
      </c>
      <c r="BM1251" s="26">
        <f t="shared" si="140"/>
        <v>0</v>
      </c>
      <c r="BN1251">
        <f t="shared" si="135"/>
        <v>104.08333333333178</v>
      </c>
      <c r="BO1251">
        <f t="shared" si="136"/>
        <v>104.08333333333178</v>
      </c>
    </row>
    <row r="1252" spans="61:67" x14ac:dyDescent="0.25">
      <c r="BI1252" s="2">
        <f t="shared" si="137"/>
        <v>104.16666666666511</v>
      </c>
      <c r="BJ1252" s="1">
        <f t="shared" si="138"/>
        <v>-2433724.0153034981</v>
      </c>
      <c r="BK1252" s="1">
        <f t="shared" si="139"/>
        <v>-2569339.4099065126</v>
      </c>
      <c r="BL1252" s="26">
        <f t="shared" si="134"/>
        <v>0</v>
      </c>
      <c r="BM1252" s="26">
        <f t="shared" si="140"/>
        <v>0</v>
      </c>
      <c r="BN1252">
        <f t="shared" si="135"/>
        <v>104.16666666666511</v>
      </c>
      <c r="BO1252">
        <f t="shared" si="136"/>
        <v>104.16666666666511</v>
      </c>
    </row>
    <row r="1253" spans="61:67" x14ac:dyDescent="0.25">
      <c r="BI1253" s="2">
        <f t="shared" si="137"/>
        <v>104.24999999999844</v>
      </c>
      <c r="BJ1253" s="1">
        <f t="shared" si="138"/>
        <v>-2440942.5408436703</v>
      </c>
      <c r="BK1253" s="1">
        <f t="shared" si="139"/>
        <v>-2576913.9258575174</v>
      </c>
      <c r="BL1253" s="26">
        <f t="shared" si="134"/>
        <v>0</v>
      </c>
      <c r="BM1253" s="26">
        <f t="shared" si="140"/>
        <v>0</v>
      </c>
      <c r="BN1253">
        <f t="shared" si="135"/>
        <v>104.24999999999844</v>
      </c>
      <c r="BO1253">
        <f t="shared" si="136"/>
        <v>104.24999999999844</v>
      </c>
    </row>
    <row r="1254" spans="61:67" x14ac:dyDescent="0.25">
      <c r="BI1254" s="2">
        <f t="shared" si="137"/>
        <v>104.33333333333177</v>
      </c>
      <c r="BJ1254" s="1">
        <f t="shared" si="138"/>
        <v>-2448180.0150133851</v>
      </c>
      <c r="BK1254" s="1">
        <f t="shared" si="139"/>
        <v>-2584508.3249128936</v>
      </c>
      <c r="BL1254" s="26">
        <f t="shared" si="134"/>
        <v>0</v>
      </c>
      <c r="BM1254" s="26">
        <f t="shared" si="140"/>
        <v>0</v>
      </c>
      <c r="BN1254">
        <f t="shared" si="135"/>
        <v>104.33333333333177</v>
      </c>
      <c r="BO1254">
        <f t="shared" si="136"/>
        <v>104.33333333333177</v>
      </c>
    </row>
    <row r="1255" spans="61:67" x14ac:dyDescent="0.25">
      <c r="BI1255" s="2">
        <f t="shared" si="137"/>
        <v>104.41666666666509</v>
      </c>
      <c r="BJ1255" s="1">
        <f t="shared" si="138"/>
        <v>-2455436.4875527956</v>
      </c>
      <c r="BK1255" s="1">
        <f t="shared" si="139"/>
        <v>-2592122.6592657901</v>
      </c>
      <c r="BL1255" s="26">
        <f t="shared" si="134"/>
        <v>0</v>
      </c>
      <c r="BM1255" s="26">
        <f t="shared" si="140"/>
        <v>0</v>
      </c>
      <c r="BN1255">
        <f t="shared" si="135"/>
        <v>104.41666666666509</v>
      </c>
      <c r="BO1255">
        <f t="shared" si="136"/>
        <v>104.41666666666509</v>
      </c>
    </row>
    <row r="1256" spans="61:67" x14ac:dyDescent="0.25">
      <c r="BI1256" s="2">
        <f t="shared" si="137"/>
        <v>104.49999999999842</v>
      </c>
      <c r="BJ1256" s="1">
        <f t="shared" si="138"/>
        <v>-2462712.0083326218</v>
      </c>
      <c r="BK1256" s="1">
        <f t="shared" si="139"/>
        <v>-2599756.9812463629</v>
      </c>
      <c r="BL1256" s="26">
        <f t="shared" si="134"/>
        <v>0</v>
      </c>
      <c r="BM1256" s="26">
        <f t="shared" si="140"/>
        <v>0</v>
      </c>
      <c r="BN1256">
        <f t="shared" si="135"/>
        <v>104.49999999999842</v>
      </c>
      <c r="BO1256">
        <f t="shared" si="136"/>
        <v>104.49999999999842</v>
      </c>
    </row>
    <row r="1257" spans="61:67" x14ac:dyDescent="0.25">
      <c r="BI1257" s="2">
        <f t="shared" si="137"/>
        <v>104.58333333333175</v>
      </c>
      <c r="BJ1257" s="1">
        <f t="shared" si="138"/>
        <v>-2470006.6273544952</v>
      </c>
      <c r="BK1257" s="1">
        <f t="shared" si="139"/>
        <v>-2607411.343322135</v>
      </c>
      <c r="BL1257" s="26">
        <f t="shared" si="134"/>
        <v>0</v>
      </c>
      <c r="BM1257" s="26">
        <f t="shared" si="140"/>
        <v>0</v>
      </c>
      <c r="BN1257">
        <f t="shared" si="135"/>
        <v>104.58333333333175</v>
      </c>
      <c r="BO1257">
        <f t="shared" si="136"/>
        <v>104.58333333333175</v>
      </c>
    </row>
    <row r="1258" spans="61:67" x14ac:dyDescent="0.25">
      <c r="BI1258" s="2">
        <f t="shared" si="137"/>
        <v>104.66666666666508</v>
      </c>
      <c r="BJ1258" s="1">
        <f t="shared" si="138"/>
        <v>-2477320.394751301</v>
      </c>
      <c r="BK1258" s="1">
        <f t="shared" si="139"/>
        <v>-2615085.798098356</v>
      </c>
      <c r="BL1258" s="26">
        <f t="shared" si="134"/>
        <v>0</v>
      </c>
      <c r="BM1258" s="26">
        <f t="shared" si="140"/>
        <v>0</v>
      </c>
      <c r="BN1258">
        <f t="shared" si="135"/>
        <v>104.66666666666508</v>
      </c>
      <c r="BO1258">
        <f t="shared" si="136"/>
        <v>104.66666666666508</v>
      </c>
    </row>
    <row r="1259" spans="61:67" x14ac:dyDescent="0.25">
      <c r="BI1259" s="2">
        <f t="shared" si="137"/>
        <v>104.74999999999841</v>
      </c>
      <c r="BJ1259" s="1">
        <f t="shared" si="138"/>
        <v>-2484653.3607875234</v>
      </c>
      <c r="BK1259" s="1">
        <f t="shared" si="139"/>
        <v>-2622780.3983183643</v>
      </c>
      <c r="BL1259" s="26">
        <f t="shared" si="134"/>
        <v>0</v>
      </c>
      <c r="BM1259" s="26">
        <f t="shared" si="140"/>
        <v>0</v>
      </c>
      <c r="BN1259">
        <f t="shared" si="135"/>
        <v>104.74999999999841</v>
      </c>
      <c r="BO1259">
        <f t="shared" si="136"/>
        <v>104.74999999999841</v>
      </c>
    </row>
    <row r="1260" spans="61:67" x14ac:dyDescent="0.25">
      <c r="BI1260" s="2">
        <f t="shared" si="137"/>
        <v>104.83333333333174</v>
      </c>
      <c r="BJ1260" s="1">
        <f t="shared" si="138"/>
        <v>-2492005.5758595909</v>
      </c>
      <c r="BK1260" s="1">
        <f t="shared" si="139"/>
        <v>-2630495.1968639502</v>
      </c>
      <c r="BL1260" s="26">
        <f t="shared" si="134"/>
        <v>0</v>
      </c>
      <c r="BM1260" s="26">
        <f t="shared" si="140"/>
        <v>0</v>
      </c>
      <c r="BN1260">
        <f t="shared" si="135"/>
        <v>104.83333333333174</v>
      </c>
      <c r="BO1260">
        <f t="shared" si="136"/>
        <v>104.83333333333174</v>
      </c>
    </row>
    <row r="1261" spans="61:67" x14ac:dyDescent="0.25">
      <c r="BI1261" s="2">
        <f t="shared" si="137"/>
        <v>104.91666666666507</v>
      </c>
      <c r="BJ1261" s="1">
        <f t="shared" si="138"/>
        <v>-2499377.0904962225</v>
      </c>
      <c r="BK1261" s="1">
        <f t="shared" si="139"/>
        <v>-2638230.2467557183</v>
      </c>
      <c r="BL1261" s="26">
        <f t="shared" si="134"/>
        <v>0</v>
      </c>
      <c r="BM1261" s="26">
        <f t="shared" si="140"/>
        <v>0</v>
      </c>
      <c r="BN1261">
        <f t="shared" si="135"/>
        <v>104.91666666666507</v>
      </c>
      <c r="BO1261">
        <f t="shared" si="136"/>
        <v>104.91666666666507</v>
      </c>
    </row>
    <row r="1262" spans="61:67" x14ac:dyDescent="0.25">
      <c r="BI1262" s="2">
        <f t="shared" si="137"/>
        <v>104.99999999999839</v>
      </c>
      <c r="BJ1262" s="1">
        <f t="shared" si="138"/>
        <v>-2506767.9553587753</v>
      </c>
      <c r="BK1262" s="1">
        <f t="shared" si="139"/>
        <v>-2645985.6011534524</v>
      </c>
      <c r="BL1262" s="26">
        <f t="shared" si="134"/>
        <v>0</v>
      </c>
      <c r="BM1262" s="26">
        <f t="shared" si="140"/>
        <v>0</v>
      </c>
      <c r="BN1262">
        <f t="shared" si="135"/>
        <v>104.99999999999839</v>
      </c>
      <c r="BO1262">
        <f t="shared" si="136"/>
        <v>104.99999999999839</v>
      </c>
    </row>
    <row r="1263" spans="61:67" x14ac:dyDescent="0.25">
      <c r="BI1263" s="2">
        <f t="shared" si="137"/>
        <v>105.08333333333172</v>
      </c>
      <c r="BJ1263" s="1">
        <f t="shared" si="138"/>
        <v>-2514178.2212415924</v>
      </c>
      <c r="BK1263" s="1">
        <f t="shared" si="139"/>
        <v>-2653761.3133564806</v>
      </c>
      <c r="BL1263" s="26">
        <f t="shared" si="134"/>
        <v>0</v>
      </c>
      <c r="BM1263" s="26">
        <f t="shared" si="140"/>
        <v>0</v>
      </c>
      <c r="BN1263">
        <f t="shared" si="135"/>
        <v>105.08333333333172</v>
      </c>
      <c r="BO1263">
        <f t="shared" si="136"/>
        <v>105.08333333333172</v>
      </c>
    </row>
    <row r="1264" spans="61:67" x14ac:dyDescent="0.25">
      <c r="BI1264" s="2">
        <f t="shared" si="137"/>
        <v>105.16666666666505</v>
      </c>
      <c r="BJ1264" s="1">
        <f t="shared" si="138"/>
        <v>-2521607.9390723519</v>
      </c>
      <c r="BK1264" s="1">
        <f t="shared" si="139"/>
        <v>-2661557.4368040417</v>
      </c>
      <c r="BL1264" s="26">
        <f t="shared" si="134"/>
        <v>0</v>
      </c>
      <c r="BM1264" s="26">
        <f t="shared" si="140"/>
        <v>0</v>
      </c>
      <c r="BN1264">
        <f t="shared" si="135"/>
        <v>105.16666666666505</v>
      </c>
      <c r="BO1264">
        <f t="shared" si="136"/>
        <v>105.16666666666505</v>
      </c>
    </row>
    <row r="1265" spans="61:67" x14ac:dyDescent="0.25">
      <c r="BI1265" s="2">
        <f t="shared" si="137"/>
        <v>105.24999999999838</v>
      </c>
      <c r="BJ1265" s="1">
        <f t="shared" si="138"/>
        <v>-2529057.1599124172</v>
      </c>
      <c r="BK1265" s="1">
        <f t="shared" si="139"/>
        <v>-2669374.0250756526</v>
      </c>
      <c r="BL1265" s="26">
        <f t="shared" si="134"/>
        <v>0</v>
      </c>
      <c r="BM1265" s="26">
        <f t="shared" si="140"/>
        <v>0</v>
      </c>
      <c r="BN1265">
        <f t="shared" si="135"/>
        <v>105.24999999999838</v>
      </c>
      <c r="BO1265">
        <f t="shared" si="136"/>
        <v>105.24999999999838</v>
      </c>
    </row>
    <row r="1266" spans="61:67" x14ac:dyDescent="0.25">
      <c r="BI1266" s="2">
        <f t="shared" si="137"/>
        <v>105.33333333333171</v>
      </c>
      <c r="BJ1266" s="1">
        <f t="shared" si="138"/>
        <v>-2536525.9349571876</v>
      </c>
      <c r="BK1266" s="1">
        <f t="shared" si="139"/>
        <v>-2677211.1318914765</v>
      </c>
      <c r="BL1266" s="26">
        <f t="shared" si="134"/>
        <v>0</v>
      </c>
      <c r="BM1266" s="26">
        <f t="shared" si="140"/>
        <v>0</v>
      </c>
      <c r="BN1266">
        <f t="shared" si="135"/>
        <v>105.33333333333171</v>
      </c>
      <c r="BO1266">
        <f t="shared" si="136"/>
        <v>105.33333333333171</v>
      </c>
    </row>
    <row r="1267" spans="61:67" x14ac:dyDescent="0.25">
      <c r="BI1267" s="2">
        <f t="shared" si="137"/>
        <v>105.41666666666504</v>
      </c>
      <c r="BJ1267" s="1">
        <f t="shared" si="138"/>
        <v>-2544014.3155364506</v>
      </c>
      <c r="BK1267" s="1">
        <f t="shared" si="139"/>
        <v>-2685068.8111126916</v>
      </c>
      <c r="BL1267" s="26">
        <f t="shared" si="134"/>
        <v>0</v>
      </c>
      <c r="BM1267" s="26">
        <f t="shared" si="140"/>
        <v>0</v>
      </c>
      <c r="BN1267">
        <f t="shared" si="135"/>
        <v>105.41666666666504</v>
      </c>
      <c r="BO1267">
        <f t="shared" si="136"/>
        <v>105.41666666666504</v>
      </c>
    </row>
    <row r="1268" spans="61:67" x14ac:dyDescent="0.25">
      <c r="BI1268" s="2">
        <f t="shared" si="137"/>
        <v>105.49999999999837</v>
      </c>
      <c r="BJ1268" s="1">
        <f t="shared" si="138"/>
        <v>-2551522.3531147339</v>
      </c>
      <c r="BK1268" s="1">
        <f t="shared" si="139"/>
        <v>-2692947.1167418626</v>
      </c>
      <c r="BL1268" s="26">
        <f t="shared" si="134"/>
        <v>0</v>
      </c>
      <c r="BM1268" s="26">
        <f t="shared" si="140"/>
        <v>0</v>
      </c>
      <c r="BN1268">
        <f t="shared" si="135"/>
        <v>105.49999999999837</v>
      </c>
      <c r="BO1268">
        <f t="shared" si="136"/>
        <v>105.49999999999837</v>
      </c>
    </row>
    <row r="1269" spans="61:67" x14ac:dyDescent="0.25">
      <c r="BI1269" s="2">
        <f t="shared" si="137"/>
        <v>105.58333333333169</v>
      </c>
      <c r="BJ1269" s="1">
        <f t="shared" si="138"/>
        <v>-2559050.0992916604</v>
      </c>
      <c r="BK1269" s="1">
        <f t="shared" si="139"/>
        <v>-2700846.1029233104</v>
      </c>
      <c r="BL1269" s="26">
        <f t="shared" si="134"/>
        <v>0</v>
      </c>
      <c r="BM1269" s="26">
        <f t="shared" si="140"/>
        <v>0</v>
      </c>
      <c r="BN1269">
        <f t="shared" si="135"/>
        <v>105.58333333333169</v>
      </c>
      <c r="BO1269">
        <f t="shared" si="136"/>
        <v>105.58333333333169</v>
      </c>
    </row>
    <row r="1270" spans="61:67" x14ac:dyDescent="0.25">
      <c r="BI1270" s="2">
        <f t="shared" si="137"/>
        <v>105.66666666666502</v>
      </c>
      <c r="BJ1270" s="1">
        <f t="shared" si="138"/>
        <v>-2566597.6058023013</v>
      </c>
      <c r="BK1270" s="1">
        <f t="shared" si="139"/>
        <v>-2708765.8239434841</v>
      </c>
      <c r="BL1270" s="26">
        <f t="shared" si="134"/>
        <v>0</v>
      </c>
      <c r="BM1270" s="26">
        <f t="shared" si="140"/>
        <v>0</v>
      </c>
      <c r="BN1270">
        <f t="shared" si="135"/>
        <v>105.66666666666502</v>
      </c>
      <c r="BO1270">
        <f t="shared" si="136"/>
        <v>105.66666666666502</v>
      </c>
    </row>
    <row r="1271" spans="61:67" x14ac:dyDescent="0.25">
      <c r="BI1271" s="2">
        <f t="shared" si="137"/>
        <v>105.74999999999835</v>
      </c>
      <c r="BJ1271" s="1">
        <f t="shared" si="138"/>
        <v>-2574164.9245175328</v>
      </c>
      <c r="BK1271" s="1">
        <f t="shared" si="139"/>
        <v>-2716706.3342313361</v>
      </c>
      <c r="BL1271" s="26">
        <f t="shared" si="134"/>
        <v>0</v>
      </c>
      <c r="BM1271" s="26">
        <f t="shared" si="140"/>
        <v>0</v>
      </c>
      <c r="BN1271">
        <f t="shared" si="135"/>
        <v>105.74999999999835</v>
      </c>
      <c r="BO1271">
        <f t="shared" si="136"/>
        <v>105.74999999999835</v>
      </c>
    </row>
    <row r="1272" spans="61:67" x14ac:dyDescent="0.25">
      <c r="BI1272" s="2">
        <f t="shared" si="137"/>
        <v>105.83333333333168</v>
      </c>
      <c r="BJ1272" s="1">
        <f t="shared" si="138"/>
        <v>-2581752.1074443916</v>
      </c>
      <c r="BK1272" s="1">
        <f t="shared" si="139"/>
        <v>-2724667.6883586938</v>
      </c>
      <c r="BL1272" s="26">
        <f t="shared" si="134"/>
        <v>0</v>
      </c>
      <c r="BM1272" s="26">
        <f t="shared" si="140"/>
        <v>0</v>
      </c>
      <c r="BN1272">
        <f t="shared" si="135"/>
        <v>105.83333333333168</v>
      </c>
      <c r="BO1272">
        <f t="shared" si="136"/>
        <v>105.83333333333168</v>
      </c>
    </row>
    <row r="1273" spans="61:67" x14ac:dyDescent="0.25">
      <c r="BI1273" s="2">
        <f t="shared" si="137"/>
        <v>105.91666666666501</v>
      </c>
      <c r="BJ1273" s="1">
        <f t="shared" si="138"/>
        <v>-2589359.2067264332</v>
      </c>
      <c r="BK1273" s="1">
        <f t="shared" si="139"/>
        <v>-2732649.9410406356</v>
      </c>
      <c r="BL1273" s="26">
        <f t="shared" si="134"/>
        <v>0</v>
      </c>
      <c r="BM1273" s="26">
        <f t="shared" si="140"/>
        <v>0</v>
      </c>
      <c r="BN1273">
        <f t="shared" si="135"/>
        <v>105.91666666666501</v>
      </c>
      <c r="BO1273">
        <f t="shared" si="136"/>
        <v>105.91666666666501</v>
      </c>
    </row>
    <row r="1274" spans="61:67" x14ac:dyDescent="0.25">
      <c r="BI1274" s="2">
        <f t="shared" si="137"/>
        <v>105.99999999999834</v>
      </c>
      <c r="BJ1274" s="1">
        <f t="shared" si="138"/>
        <v>-2596986.2746440903</v>
      </c>
      <c r="BK1274" s="1">
        <f t="shared" si="139"/>
        <v>-2740653.1471358677</v>
      </c>
      <c r="BL1274" s="26">
        <f t="shared" si="134"/>
        <v>0</v>
      </c>
      <c r="BM1274" s="26">
        <f t="shared" si="140"/>
        <v>0</v>
      </c>
      <c r="BN1274">
        <f t="shared" si="135"/>
        <v>105.99999999999834</v>
      </c>
      <c r="BO1274">
        <f t="shared" si="136"/>
        <v>105.99999999999834</v>
      </c>
    </row>
    <row r="1275" spans="61:67" x14ac:dyDescent="0.25">
      <c r="BI1275" s="2">
        <f t="shared" si="137"/>
        <v>106.08333333333167</v>
      </c>
      <c r="BJ1275" s="1">
        <f t="shared" si="138"/>
        <v>-2604633.3636150314</v>
      </c>
      <c r="BK1275" s="1">
        <f t="shared" si="139"/>
        <v>-2748677.3616470997</v>
      </c>
      <c r="BL1275" s="26">
        <f t="shared" si="134"/>
        <v>0</v>
      </c>
      <c r="BM1275" s="26">
        <f t="shared" si="140"/>
        <v>0</v>
      </c>
      <c r="BN1275">
        <f t="shared" si="135"/>
        <v>106.08333333333167</v>
      </c>
      <c r="BO1275">
        <f t="shared" si="136"/>
        <v>106.08333333333167</v>
      </c>
    </row>
    <row r="1276" spans="61:67" x14ac:dyDescent="0.25">
      <c r="BI1276" s="2">
        <f t="shared" si="137"/>
        <v>106.16666666666499</v>
      </c>
      <c r="BJ1276" s="1">
        <f t="shared" si="138"/>
        <v>-2612300.5261945212</v>
      </c>
      <c r="BK1276" s="1">
        <f t="shared" si="139"/>
        <v>-2756722.6397214239</v>
      </c>
      <c r="BL1276" s="26">
        <f t="shared" si="134"/>
        <v>0</v>
      </c>
      <c r="BM1276" s="26">
        <f t="shared" si="140"/>
        <v>0</v>
      </c>
      <c r="BN1276">
        <f t="shared" si="135"/>
        <v>106.16666666666499</v>
      </c>
      <c r="BO1276">
        <f t="shared" si="136"/>
        <v>106.16666666666499</v>
      </c>
    </row>
    <row r="1277" spans="61:67" x14ac:dyDescent="0.25">
      <c r="BI1277" s="2">
        <f t="shared" si="137"/>
        <v>106.24999999999832</v>
      </c>
      <c r="BJ1277" s="1">
        <f t="shared" si="138"/>
        <v>-2619987.8150757821</v>
      </c>
      <c r="BK1277" s="1">
        <f t="shared" si="139"/>
        <v>-2764789.036650693</v>
      </c>
      <c r="BL1277" s="26">
        <f t="shared" si="134"/>
        <v>0</v>
      </c>
      <c r="BM1277" s="26">
        <f t="shared" si="140"/>
        <v>0</v>
      </c>
      <c r="BN1277">
        <f t="shared" si="135"/>
        <v>106.24999999999832</v>
      </c>
      <c r="BO1277">
        <f t="shared" si="136"/>
        <v>106.24999999999832</v>
      </c>
    </row>
    <row r="1278" spans="61:67" x14ac:dyDescent="0.25">
      <c r="BI1278" s="2">
        <f t="shared" si="137"/>
        <v>106.33333333333165</v>
      </c>
      <c r="BJ1278" s="1">
        <f t="shared" si="138"/>
        <v>-2627695.2830903563</v>
      </c>
      <c r="BK1278" s="1">
        <f t="shared" si="139"/>
        <v>-2772876.6078719012</v>
      </c>
      <c r="BL1278" s="26">
        <f t="shared" si="134"/>
        <v>0</v>
      </c>
      <c r="BM1278" s="26">
        <f t="shared" si="140"/>
        <v>0</v>
      </c>
      <c r="BN1278">
        <f t="shared" si="135"/>
        <v>106.33333333333165</v>
      </c>
      <c r="BO1278">
        <f t="shared" si="136"/>
        <v>106.33333333333165</v>
      </c>
    </row>
    <row r="1279" spans="61:67" x14ac:dyDescent="0.25">
      <c r="BI1279" s="2">
        <f t="shared" si="137"/>
        <v>106.41666666666498</v>
      </c>
      <c r="BJ1279" s="1">
        <f t="shared" si="138"/>
        <v>-2635422.9832084686</v>
      </c>
      <c r="BK1279" s="1">
        <f t="shared" si="139"/>
        <v>-2780985.4089675653</v>
      </c>
      <c r="BL1279" s="26">
        <f t="shared" si="134"/>
        <v>0</v>
      </c>
      <c r="BM1279" s="26">
        <f t="shared" si="140"/>
        <v>0</v>
      </c>
      <c r="BN1279">
        <f t="shared" si="135"/>
        <v>106.41666666666498</v>
      </c>
      <c r="BO1279">
        <f t="shared" si="136"/>
        <v>106.41666666666498</v>
      </c>
    </row>
    <row r="1280" spans="61:67" x14ac:dyDescent="0.25">
      <c r="BI1280" s="2">
        <f t="shared" si="137"/>
        <v>106.49999999999831</v>
      </c>
      <c r="BJ1280" s="1">
        <f t="shared" si="138"/>
        <v>-2643170.9685393912</v>
      </c>
      <c r="BK1280" s="1">
        <f t="shared" si="139"/>
        <v>-2789115.4956661053</v>
      </c>
      <c r="BL1280" s="26">
        <f t="shared" si="134"/>
        <v>0</v>
      </c>
      <c r="BM1280" s="26">
        <f t="shared" si="140"/>
        <v>0</v>
      </c>
      <c r="BN1280">
        <f t="shared" si="135"/>
        <v>106.49999999999831</v>
      </c>
      <c r="BO1280">
        <f t="shared" si="136"/>
        <v>106.49999999999831</v>
      </c>
    </row>
    <row r="1281" spans="61:67" x14ac:dyDescent="0.25">
      <c r="BI1281" s="2">
        <f t="shared" si="137"/>
        <v>106.58333333333164</v>
      </c>
      <c r="BJ1281" s="1">
        <f t="shared" si="138"/>
        <v>-2650939.2923318073</v>
      </c>
      <c r="BK1281" s="1">
        <f t="shared" si="139"/>
        <v>-2797266.9238422289</v>
      </c>
      <c r="BL1281" s="26">
        <f t="shared" si="134"/>
        <v>0</v>
      </c>
      <c r="BM1281" s="26">
        <f t="shared" si="140"/>
        <v>0</v>
      </c>
      <c r="BN1281">
        <f t="shared" si="135"/>
        <v>106.58333333333164</v>
      </c>
      <c r="BO1281">
        <f t="shared" si="136"/>
        <v>106.58333333333164</v>
      </c>
    </row>
    <row r="1282" spans="61:67" x14ac:dyDescent="0.25">
      <c r="BI1282" s="2">
        <f t="shared" si="137"/>
        <v>106.66666666666497</v>
      </c>
      <c r="BJ1282" s="1">
        <f t="shared" si="138"/>
        <v>-2658728.0079741785</v>
      </c>
      <c r="BK1282" s="1">
        <f t="shared" si="139"/>
        <v>-2805439.7495173151</v>
      </c>
      <c r="BL1282" s="26">
        <f t="shared" ref="BL1282:BL1345" si="141">IF(BI1282&gt;$G$12,0,1)</f>
        <v>0</v>
      </c>
      <c r="BM1282" s="26">
        <f t="shared" si="140"/>
        <v>0</v>
      </c>
      <c r="BN1282">
        <f t="shared" ref="BN1282:BN1345" si="142">IF(BK1282&lt;0,BI1282,999)</f>
        <v>106.66666666666497</v>
      </c>
      <c r="BO1282">
        <f t="shared" ref="BO1282:BO1345" si="143">IF(BJ1282&lt;0,BI1282,999)</f>
        <v>106.66666666666497</v>
      </c>
    </row>
    <row r="1283" spans="61:67" x14ac:dyDescent="0.25">
      <c r="BI1283" s="2">
        <f t="shared" ref="BI1283:BI1346" si="144">BI1282+1/12</f>
        <v>106.74999999999829</v>
      </c>
      <c r="BJ1283" s="1">
        <f t="shared" ref="BJ1283:BJ1346" si="145">BJ1282*(1+$C$4/12) - $C$3</f>
        <v>-2666537.1689951108</v>
      </c>
      <c r="BK1283" s="1">
        <f t="shared" si="139"/>
        <v>-2813634.0288597983</v>
      </c>
      <c r="BL1283" s="26">
        <f t="shared" si="141"/>
        <v>0</v>
      </c>
      <c r="BM1283" s="26">
        <f t="shared" si="140"/>
        <v>0</v>
      </c>
      <c r="BN1283">
        <f t="shared" si="142"/>
        <v>106.74999999999829</v>
      </c>
      <c r="BO1283">
        <f t="shared" si="143"/>
        <v>106.74999999999829</v>
      </c>
    </row>
    <row r="1284" spans="61:67" x14ac:dyDescent="0.25">
      <c r="BI1284" s="2">
        <f t="shared" si="144"/>
        <v>106.83333333333162</v>
      </c>
      <c r="BJ1284" s="1">
        <f t="shared" si="145"/>
        <v>-2674366.8290637233</v>
      </c>
      <c r="BK1284" s="1">
        <f t="shared" ref="BK1284:BK1347" si="146">BK1283*(1+$D$4/12)-$C$3-($D$3-$C$3)*BL1284</f>
        <v>-2821849.8181855557</v>
      </c>
      <c r="BL1284" s="26">
        <f t="shared" si="141"/>
        <v>0</v>
      </c>
      <c r="BM1284" s="26">
        <f t="shared" si="140"/>
        <v>0</v>
      </c>
      <c r="BN1284">
        <f t="shared" si="142"/>
        <v>106.83333333333162</v>
      </c>
      <c r="BO1284">
        <f t="shared" si="143"/>
        <v>106.83333333333162</v>
      </c>
    </row>
    <row r="1285" spans="61:67" x14ac:dyDescent="0.25">
      <c r="BI1285" s="2">
        <f t="shared" si="144"/>
        <v>106.91666666666495</v>
      </c>
      <c r="BJ1285" s="1">
        <f t="shared" si="145"/>
        <v>-2682217.0419900157</v>
      </c>
      <c r="BK1285" s="1">
        <f t="shared" si="146"/>
        <v>-2830087.1739582932</v>
      </c>
      <c r="BL1285" s="26">
        <f t="shared" si="141"/>
        <v>0</v>
      </c>
      <c r="BM1285" s="26">
        <f t="shared" si="140"/>
        <v>0</v>
      </c>
      <c r="BN1285">
        <f t="shared" si="142"/>
        <v>106.91666666666495</v>
      </c>
      <c r="BO1285">
        <f t="shared" si="143"/>
        <v>106.91666666666495</v>
      </c>
    </row>
    <row r="1286" spans="61:67" x14ac:dyDescent="0.25">
      <c r="BI1286" s="2">
        <f t="shared" si="144"/>
        <v>106.99999999999828</v>
      </c>
      <c r="BJ1286" s="1">
        <f t="shared" si="145"/>
        <v>-2690087.8617252395</v>
      </c>
      <c r="BK1286" s="1">
        <f t="shared" si="146"/>
        <v>-2838346.1527899341</v>
      </c>
      <c r="BL1286" s="26">
        <f t="shared" si="141"/>
        <v>0</v>
      </c>
      <c r="BM1286" s="26">
        <f t="shared" si="140"/>
        <v>0</v>
      </c>
      <c r="BN1286">
        <f t="shared" si="142"/>
        <v>106.99999999999828</v>
      </c>
      <c r="BO1286">
        <f t="shared" si="143"/>
        <v>106.99999999999828</v>
      </c>
    </row>
    <row r="1287" spans="61:67" x14ac:dyDescent="0.25">
      <c r="BI1287" s="2">
        <f t="shared" si="144"/>
        <v>107.08333333333161</v>
      </c>
      <c r="BJ1287" s="1">
        <f t="shared" si="145"/>
        <v>-2697979.3423622684</v>
      </c>
      <c r="BK1287" s="1">
        <f t="shared" si="146"/>
        <v>-2846626.811441008</v>
      </c>
      <c r="BL1287" s="26">
        <f t="shared" si="141"/>
        <v>0</v>
      </c>
      <c r="BM1287" s="26">
        <f t="shared" si="140"/>
        <v>0</v>
      </c>
      <c r="BN1287">
        <f t="shared" si="142"/>
        <v>107.08333333333161</v>
      </c>
      <c r="BO1287">
        <f t="shared" si="143"/>
        <v>107.08333333333161</v>
      </c>
    </row>
    <row r="1288" spans="61:67" x14ac:dyDescent="0.25">
      <c r="BI1288" s="2">
        <f t="shared" si="144"/>
        <v>107.16666666666494</v>
      </c>
      <c r="BJ1288" s="1">
        <f t="shared" si="145"/>
        <v>-2705891.5381359695</v>
      </c>
      <c r="BK1288" s="1">
        <f t="shared" si="146"/>
        <v>-2854929.2068210407</v>
      </c>
      <c r="BL1288" s="26">
        <f t="shared" si="141"/>
        <v>0</v>
      </c>
      <c r="BM1288" s="26">
        <f t="shared" si="140"/>
        <v>0</v>
      </c>
      <c r="BN1288">
        <f t="shared" si="142"/>
        <v>107.16666666666494</v>
      </c>
      <c r="BO1288">
        <f t="shared" si="143"/>
        <v>107.16666666666494</v>
      </c>
    </row>
    <row r="1289" spans="61:67" x14ac:dyDescent="0.25">
      <c r="BI1289" s="2">
        <f t="shared" si="144"/>
        <v>107.24999999999827</v>
      </c>
      <c r="BJ1289" s="1">
        <f t="shared" si="145"/>
        <v>-2713824.5034235767</v>
      </c>
      <c r="BK1289" s="1">
        <f t="shared" si="146"/>
        <v>-2863253.3959889463</v>
      </c>
      <c r="BL1289" s="26">
        <f t="shared" si="141"/>
        <v>0</v>
      </c>
      <c r="BM1289" s="26">
        <f t="shared" si="140"/>
        <v>0</v>
      </c>
      <c r="BN1289">
        <f t="shared" si="142"/>
        <v>107.24999999999827</v>
      </c>
      <c r="BO1289">
        <f t="shared" si="143"/>
        <v>107.24999999999827</v>
      </c>
    </row>
    <row r="1290" spans="61:67" x14ac:dyDescent="0.25">
      <c r="BI1290" s="2">
        <f t="shared" si="144"/>
        <v>107.33333333333159</v>
      </c>
      <c r="BJ1290" s="1">
        <f t="shared" si="145"/>
        <v>-2721778.292745064</v>
      </c>
      <c r="BK1290" s="1">
        <f t="shared" si="146"/>
        <v>-2871599.4361534175</v>
      </c>
      <c r="BL1290" s="26">
        <f t="shared" si="141"/>
        <v>0</v>
      </c>
      <c r="BM1290" s="26">
        <f t="shared" si="140"/>
        <v>0</v>
      </c>
      <c r="BN1290">
        <f t="shared" si="142"/>
        <v>107.33333333333159</v>
      </c>
      <c r="BO1290">
        <f t="shared" si="143"/>
        <v>107.33333333333159</v>
      </c>
    </row>
    <row r="1291" spans="61:67" x14ac:dyDescent="0.25">
      <c r="BI1291" s="2">
        <f t="shared" si="144"/>
        <v>107.41666666666492</v>
      </c>
      <c r="BJ1291" s="1">
        <f t="shared" si="145"/>
        <v>-2729752.9607635201</v>
      </c>
      <c r="BK1291" s="1">
        <f t="shared" si="146"/>
        <v>-2879967.3846733207</v>
      </c>
      <c r="BL1291" s="26">
        <f t="shared" si="141"/>
        <v>0</v>
      </c>
      <c r="BM1291" s="26">
        <f t="shared" si="140"/>
        <v>0</v>
      </c>
      <c r="BN1291">
        <f t="shared" si="142"/>
        <v>107.41666666666492</v>
      </c>
      <c r="BO1291">
        <f t="shared" si="143"/>
        <v>107.41666666666492</v>
      </c>
    </row>
    <row r="1292" spans="61:67" x14ac:dyDescent="0.25">
      <c r="BI1292" s="2">
        <f t="shared" si="144"/>
        <v>107.49999999999825</v>
      </c>
      <c r="BJ1292" s="1">
        <f t="shared" si="145"/>
        <v>-2737748.5622855248</v>
      </c>
      <c r="BK1292" s="1">
        <f t="shared" si="146"/>
        <v>-2888357.2990580886</v>
      </c>
      <c r="BL1292" s="26">
        <f t="shared" si="141"/>
        <v>0</v>
      </c>
      <c r="BM1292" s="26">
        <f t="shared" si="140"/>
        <v>0</v>
      </c>
      <c r="BN1292">
        <f t="shared" si="142"/>
        <v>107.49999999999825</v>
      </c>
      <c r="BO1292">
        <f t="shared" si="143"/>
        <v>107.49999999999825</v>
      </c>
    </row>
    <row r="1293" spans="61:67" x14ac:dyDescent="0.25">
      <c r="BI1293" s="2">
        <f t="shared" si="144"/>
        <v>107.58333333333158</v>
      </c>
      <c r="BJ1293" s="1">
        <f t="shared" si="145"/>
        <v>-2745765.1522615245</v>
      </c>
      <c r="BK1293" s="1">
        <f t="shared" si="146"/>
        <v>-2896769.2369681164</v>
      </c>
      <c r="BL1293" s="26">
        <f t="shared" si="141"/>
        <v>0</v>
      </c>
      <c r="BM1293" s="26">
        <f t="shared" si="140"/>
        <v>0</v>
      </c>
      <c r="BN1293">
        <f t="shared" si="142"/>
        <v>107.58333333333158</v>
      </c>
      <c r="BO1293">
        <f t="shared" si="143"/>
        <v>107.58333333333158</v>
      </c>
    </row>
    <row r="1294" spans="61:67" x14ac:dyDescent="0.25">
      <c r="BI1294" s="2">
        <f t="shared" si="144"/>
        <v>107.66666666666491</v>
      </c>
      <c r="BJ1294" s="1">
        <f t="shared" si="145"/>
        <v>-2753802.785786211</v>
      </c>
      <c r="BK1294" s="1">
        <f t="shared" si="146"/>
        <v>-2905203.2562151579</v>
      </c>
      <c r="BL1294" s="26">
        <f t="shared" si="141"/>
        <v>0</v>
      </c>
      <c r="BM1294" s="26">
        <f t="shared" si="140"/>
        <v>0</v>
      </c>
      <c r="BN1294">
        <f t="shared" si="142"/>
        <v>107.66666666666491</v>
      </c>
      <c r="BO1294">
        <f t="shared" si="143"/>
        <v>107.66666666666491</v>
      </c>
    </row>
    <row r="1295" spans="61:67" x14ac:dyDescent="0.25">
      <c r="BI1295" s="2">
        <f t="shared" si="144"/>
        <v>107.74999999999824</v>
      </c>
      <c r="BJ1295" s="1">
        <f t="shared" si="145"/>
        <v>-2761861.5180989001</v>
      </c>
      <c r="BK1295" s="1">
        <f t="shared" si="146"/>
        <v>-2913659.4147627228</v>
      </c>
      <c r="BL1295" s="26">
        <f t="shared" si="141"/>
        <v>0</v>
      </c>
      <c r="BM1295" s="26">
        <f t="shared" si="140"/>
        <v>0</v>
      </c>
      <c r="BN1295">
        <f t="shared" si="142"/>
        <v>107.74999999999824</v>
      </c>
      <c r="BO1295">
        <f t="shared" si="143"/>
        <v>107.74999999999824</v>
      </c>
    </row>
    <row r="1296" spans="61:67" x14ac:dyDescent="0.25">
      <c r="BI1296" s="2">
        <f t="shared" si="144"/>
        <v>107.83333333333157</v>
      </c>
      <c r="BJ1296" s="1">
        <f t="shared" si="145"/>
        <v>-2769941.40458391</v>
      </c>
      <c r="BK1296" s="1">
        <f t="shared" si="146"/>
        <v>-2922137.7707264754</v>
      </c>
      <c r="BL1296" s="26">
        <f t="shared" si="141"/>
        <v>0</v>
      </c>
      <c r="BM1296" s="26">
        <f t="shared" si="140"/>
        <v>0</v>
      </c>
      <c r="BN1296">
        <f t="shared" si="142"/>
        <v>107.83333333333157</v>
      </c>
      <c r="BO1296">
        <f t="shared" si="143"/>
        <v>107.83333333333157</v>
      </c>
    </row>
    <row r="1297" spans="61:67" x14ac:dyDescent="0.25">
      <c r="BI1297" s="2">
        <f t="shared" si="144"/>
        <v>107.9166666666649</v>
      </c>
      <c r="BJ1297" s="1">
        <f t="shared" si="145"/>
        <v>-2778042.5007709432</v>
      </c>
      <c r="BK1297" s="1">
        <f t="shared" si="146"/>
        <v>-2930638.3823746326</v>
      </c>
      <c r="BL1297" s="26">
        <f t="shared" si="141"/>
        <v>0</v>
      </c>
      <c r="BM1297" s="26">
        <f t="shared" si="140"/>
        <v>0</v>
      </c>
      <c r="BN1297">
        <f t="shared" si="142"/>
        <v>107.9166666666649</v>
      </c>
      <c r="BO1297">
        <f t="shared" si="143"/>
        <v>107.9166666666649</v>
      </c>
    </row>
    <row r="1298" spans="61:67" x14ac:dyDescent="0.25">
      <c r="BI1298" s="2">
        <f t="shared" si="144"/>
        <v>107.99999999999822</v>
      </c>
      <c r="BJ1298" s="1">
        <f t="shared" si="145"/>
        <v>-2786164.8623354672</v>
      </c>
      <c r="BK1298" s="1">
        <f t="shared" si="146"/>
        <v>-2939161.3081283662</v>
      </c>
      <c r="BL1298" s="26">
        <f t="shared" si="141"/>
        <v>0</v>
      </c>
      <c r="BM1298" s="26">
        <f t="shared" si="140"/>
        <v>0</v>
      </c>
      <c r="BN1298">
        <f t="shared" si="142"/>
        <v>107.99999999999822</v>
      </c>
      <c r="BO1298">
        <f t="shared" si="143"/>
        <v>107.99999999999822</v>
      </c>
    </row>
    <row r="1299" spans="61:67" x14ac:dyDescent="0.25">
      <c r="BI1299" s="2">
        <f t="shared" si="144"/>
        <v>108.08333333333155</v>
      </c>
      <c r="BJ1299" s="1">
        <f t="shared" si="145"/>
        <v>-2794308.5450990982</v>
      </c>
      <c r="BK1299" s="1">
        <f t="shared" si="146"/>
        <v>-2947706.6065622037</v>
      </c>
      <c r="BL1299" s="26">
        <f t="shared" si="141"/>
        <v>0</v>
      </c>
      <c r="BM1299" s="26">
        <f t="shared" si="140"/>
        <v>0</v>
      </c>
      <c r="BN1299">
        <f t="shared" si="142"/>
        <v>108.08333333333155</v>
      </c>
      <c r="BO1299">
        <f t="shared" si="143"/>
        <v>108.08333333333155</v>
      </c>
    </row>
    <row r="1300" spans="61:67" x14ac:dyDescent="0.25">
      <c r="BI1300" s="2">
        <f t="shared" si="144"/>
        <v>108.16666666666488</v>
      </c>
      <c r="BJ1300" s="1">
        <f t="shared" si="145"/>
        <v>-2802473.6050299834</v>
      </c>
      <c r="BK1300" s="1">
        <f t="shared" si="146"/>
        <v>-2956274.3364044297</v>
      </c>
      <c r="BL1300" s="26">
        <f t="shared" si="141"/>
        <v>0</v>
      </c>
      <c r="BM1300" s="26">
        <f t="shared" si="140"/>
        <v>0</v>
      </c>
      <c r="BN1300">
        <f t="shared" si="142"/>
        <v>108.16666666666488</v>
      </c>
      <c r="BO1300">
        <f t="shared" si="143"/>
        <v>108.16666666666488</v>
      </c>
    </row>
    <row r="1301" spans="61:67" x14ac:dyDescent="0.25">
      <c r="BI1301" s="2">
        <f t="shared" si="144"/>
        <v>108.24999999999821</v>
      </c>
      <c r="BJ1301" s="1">
        <f t="shared" si="145"/>
        <v>-2810660.0982431876</v>
      </c>
      <c r="BK1301" s="1">
        <f t="shared" si="146"/>
        <v>-2964864.5565374917</v>
      </c>
      <c r="BL1301" s="26">
        <f t="shared" si="141"/>
        <v>0</v>
      </c>
      <c r="BM1301" s="26">
        <f t="shared" si="140"/>
        <v>0</v>
      </c>
      <c r="BN1301">
        <f t="shared" si="142"/>
        <v>108.24999999999821</v>
      </c>
      <c r="BO1301">
        <f t="shared" si="143"/>
        <v>108.24999999999821</v>
      </c>
    </row>
    <row r="1302" spans="61:67" x14ac:dyDescent="0.25">
      <c r="BI1302" s="2">
        <f t="shared" si="144"/>
        <v>108.33333333333154</v>
      </c>
      <c r="BJ1302" s="1">
        <f t="shared" si="145"/>
        <v>-2818868.0810010764</v>
      </c>
      <c r="BK1302" s="1">
        <f t="shared" si="146"/>
        <v>-2973477.3259984031</v>
      </c>
      <c r="BL1302" s="26">
        <f t="shared" si="141"/>
        <v>0</v>
      </c>
      <c r="BM1302" s="26">
        <f t="shared" si="140"/>
        <v>0</v>
      </c>
      <c r="BN1302">
        <f t="shared" si="142"/>
        <v>108.33333333333154</v>
      </c>
      <c r="BO1302">
        <f t="shared" si="143"/>
        <v>108.33333333333154</v>
      </c>
    </row>
    <row r="1303" spans="61:67" x14ac:dyDescent="0.25">
      <c r="BI1303" s="2">
        <f t="shared" si="144"/>
        <v>108.41666666666487</v>
      </c>
      <c r="BJ1303" s="1">
        <f t="shared" si="145"/>
        <v>-2827097.6097137043</v>
      </c>
      <c r="BK1303" s="1">
        <f t="shared" si="146"/>
        <v>-2982112.7039791495</v>
      </c>
      <c r="BL1303" s="26">
        <f t="shared" si="141"/>
        <v>0</v>
      </c>
      <c r="BM1303" s="26">
        <f t="shared" si="140"/>
        <v>0</v>
      </c>
      <c r="BN1303">
        <f t="shared" si="142"/>
        <v>108.41666666666487</v>
      </c>
      <c r="BO1303">
        <f t="shared" si="143"/>
        <v>108.41666666666487</v>
      </c>
    </row>
    <row r="1304" spans="61:67" x14ac:dyDescent="0.25">
      <c r="BI1304" s="2">
        <f t="shared" si="144"/>
        <v>108.4999999999982</v>
      </c>
      <c r="BJ1304" s="1">
        <f t="shared" si="145"/>
        <v>-2835348.7409392032</v>
      </c>
      <c r="BK1304" s="1">
        <f t="shared" si="146"/>
        <v>-2990770.7498270948</v>
      </c>
      <c r="BL1304" s="26">
        <f t="shared" si="141"/>
        <v>0</v>
      </c>
      <c r="BM1304" s="26">
        <f t="shared" si="140"/>
        <v>0</v>
      </c>
      <c r="BN1304">
        <f t="shared" si="142"/>
        <v>108.4999999999982</v>
      </c>
      <c r="BO1304">
        <f t="shared" si="143"/>
        <v>108.4999999999982</v>
      </c>
    </row>
    <row r="1305" spans="61:67" x14ac:dyDescent="0.25">
      <c r="BI1305" s="2">
        <f t="shared" si="144"/>
        <v>108.58333333333152</v>
      </c>
      <c r="BJ1305" s="1">
        <f t="shared" si="145"/>
        <v>-2843621.5313841687</v>
      </c>
      <c r="BK1305" s="1">
        <f t="shared" si="146"/>
        <v>-2999451.5230453913</v>
      </c>
      <c r="BL1305" s="26">
        <f t="shared" si="141"/>
        <v>0</v>
      </c>
      <c r="BM1305" s="26">
        <f t="shared" si="140"/>
        <v>0</v>
      </c>
      <c r="BN1305">
        <f t="shared" si="142"/>
        <v>108.58333333333152</v>
      </c>
      <c r="BO1305">
        <f t="shared" si="143"/>
        <v>108.58333333333152</v>
      </c>
    </row>
    <row r="1306" spans="61:67" x14ac:dyDescent="0.25">
      <c r="BI1306" s="2">
        <f t="shared" si="144"/>
        <v>108.66666666666485</v>
      </c>
      <c r="BJ1306" s="1">
        <f t="shared" si="145"/>
        <v>-2851916.0379040525</v>
      </c>
      <c r="BK1306" s="1">
        <f t="shared" si="146"/>
        <v>-3008155.0832933858</v>
      </c>
      <c r="BL1306" s="26">
        <f t="shared" si="141"/>
        <v>0</v>
      </c>
      <c r="BM1306" s="26">
        <f t="shared" si="140"/>
        <v>0</v>
      </c>
      <c r="BN1306">
        <f t="shared" si="142"/>
        <v>108.66666666666485</v>
      </c>
      <c r="BO1306">
        <f t="shared" si="143"/>
        <v>108.66666666666485</v>
      </c>
    </row>
    <row r="1307" spans="61:67" x14ac:dyDescent="0.25">
      <c r="BI1307" s="2">
        <f t="shared" si="144"/>
        <v>108.74999999999818</v>
      </c>
      <c r="BJ1307" s="1">
        <f t="shared" si="145"/>
        <v>-2860232.317503551</v>
      </c>
      <c r="BK1307" s="1">
        <f t="shared" si="146"/>
        <v>-3016881.4903870313</v>
      </c>
      <c r="BL1307" s="26">
        <f t="shared" si="141"/>
        <v>0</v>
      </c>
      <c r="BM1307" s="26">
        <f t="shared" ref="BM1307:BM1370" si="147">IF(AND(BL1307&gt;0,BK1307&gt;0),1,0)</f>
        <v>0</v>
      </c>
      <c r="BN1307">
        <f t="shared" si="142"/>
        <v>108.74999999999818</v>
      </c>
      <c r="BO1307">
        <f t="shared" si="143"/>
        <v>108.74999999999818</v>
      </c>
    </row>
    <row r="1308" spans="61:67" x14ac:dyDescent="0.25">
      <c r="BI1308" s="2">
        <f t="shared" si="144"/>
        <v>108.83333333333151</v>
      </c>
      <c r="BJ1308" s="1">
        <f t="shared" si="145"/>
        <v>-2868570.4273369983</v>
      </c>
      <c r="BK1308" s="1">
        <f t="shared" si="146"/>
        <v>-3025630.8042992977</v>
      </c>
      <c r="BL1308" s="26">
        <f t="shared" si="141"/>
        <v>0</v>
      </c>
      <c r="BM1308" s="26">
        <f t="shared" si="147"/>
        <v>0</v>
      </c>
      <c r="BN1308">
        <f t="shared" si="142"/>
        <v>108.83333333333151</v>
      </c>
      <c r="BO1308">
        <f t="shared" si="143"/>
        <v>108.83333333333151</v>
      </c>
    </row>
    <row r="1309" spans="61:67" x14ac:dyDescent="0.25">
      <c r="BI1309" s="2">
        <f t="shared" si="144"/>
        <v>108.91666666666484</v>
      </c>
      <c r="BJ1309" s="1">
        <f t="shared" si="145"/>
        <v>-2876930.424708758</v>
      </c>
      <c r="BK1309" s="1">
        <f t="shared" si="146"/>
        <v>-3034403.0851605837</v>
      </c>
      <c r="BL1309" s="26">
        <f t="shared" si="141"/>
        <v>0</v>
      </c>
      <c r="BM1309" s="26">
        <f t="shared" si="147"/>
        <v>0</v>
      </c>
      <c r="BN1309">
        <f t="shared" si="142"/>
        <v>108.91666666666484</v>
      </c>
      <c r="BO1309">
        <f t="shared" si="143"/>
        <v>108.91666666666484</v>
      </c>
    </row>
    <row r="1310" spans="61:67" x14ac:dyDescent="0.25">
      <c r="BI1310" s="2">
        <f t="shared" si="144"/>
        <v>108.99999999999817</v>
      </c>
      <c r="BJ1310" s="1">
        <f t="shared" si="145"/>
        <v>-2885312.3670736188</v>
      </c>
      <c r="BK1310" s="1">
        <f t="shared" si="146"/>
        <v>-3043198.3932591304</v>
      </c>
      <c r="BL1310" s="26">
        <f t="shared" si="141"/>
        <v>0</v>
      </c>
      <c r="BM1310" s="26">
        <f t="shared" si="147"/>
        <v>0</v>
      </c>
      <c r="BN1310">
        <f t="shared" si="142"/>
        <v>108.99999999999817</v>
      </c>
      <c r="BO1310">
        <f t="shared" si="143"/>
        <v>108.99999999999817</v>
      </c>
    </row>
    <row r="1311" spans="61:67" x14ac:dyDescent="0.25">
      <c r="BI1311" s="2">
        <f t="shared" si="144"/>
        <v>109.0833333333315</v>
      </c>
      <c r="BJ1311" s="1">
        <f t="shared" si="145"/>
        <v>-2893716.3120371872</v>
      </c>
      <c r="BK1311" s="1">
        <f t="shared" si="146"/>
        <v>-3052016.7890414358</v>
      </c>
      <c r="BL1311" s="26">
        <f t="shared" si="141"/>
        <v>0</v>
      </c>
      <c r="BM1311" s="26">
        <f t="shared" si="147"/>
        <v>0</v>
      </c>
      <c r="BN1311">
        <f t="shared" si="142"/>
        <v>109.0833333333315</v>
      </c>
      <c r="BO1311">
        <f t="shared" si="143"/>
        <v>109.0833333333315</v>
      </c>
    </row>
    <row r="1312" spans="61:67" x14ac:dyDescent="0.25">
      <c r="BI1312" s="2">
        <f t="shared" si="144"/>
        <v>109.16666666666482</v>
      </c>
      <c r="BJ1312" s="1">
        <f t="shared" si="145"/>
        <v>-2902142.3173562852</v>
      </c>
      <c r="BK1312" s="1">
        <f t="shared" si="146"/>
        <v>-3060858.3331126701</v>
      </c>
      <c r="BL1312" s="26">
        <f t="shared" si="141"/>
        <v>0</v>
      </c>
      <c r="BM1312" s="26">
        <f t="shared" si="147"/>
        <v>0</v>
      </c>
      <c r="BN1312">
        <f t="shared" si="142"/>
        <v>109.16666666666482</v>
      </c>
      <c r="BO1312">
        <f t="shared" si="143"/>
        <v>109.16666666666482</v>
      </c>
    </row>
    <row r="1313" spans="61:67" x14ac:dyDescent="0.25">
      <c r="BI1313" s="2">
        <f t="shared" si="144"/>
        <v>109.24999999999815</v>
      </c>
      <c r="BJ1313" s="1">
        <f t="shared" si="145"/>
        <v>-2910590.4409393459</v>
      </c>
      <c r="BK1313" s="1">
        <f t="shared" si="146"/>
        <v>-3069723.0862370911</v>
      </c>
      <c r="BL1313" s="26">
        <f t="shared" si="141"/>
        <v>0</v>
      </c>
      <c r="BM1313" s="26">
        <f t="shared" si="147"/>
        <v>0</v>
      </c>
      <c r="BN1313">
        <f t="shared" si="142"/>
        <v>109.24999999999815</v>
      </c>
      <c r="BO1313">
        <f t="shared" si="143"/>
        <v>109.24999999999815</v>
      </c>
    </row>
    <row r="1314" spans="61:67" x14ac:dyDescent="0.25">
      <c r="BI1314" s="2">
        <f t="shared" si="144"/>
        <v>109.33333333333148</v>
      </c>
      <c r="BJ1314" s="1">
        <f t="shared" si="145"/>
        <v>-2919060.7408468118</v>
      </c>
      <c r="BK1314" s="1">
        <f t="shared" si="146"/>
        <v>-3078611.1093384637</v>
      </c>
      <c r="BL1314" s="26">
        <f t="shared" si="141"/>
        <v>0</v>
      </c>
      <c r="BM1314" s="26">
        <f t="shared" si="147"/>
        <v>0</v>
      </c>
      <c r="BN1314">
        <f t="shared" si="142"/>
        <v>109.33333333333148</v>
      </c>
      <c r="BO1314">
        <f t="shared" si="143"/>
        <v>109.33333333333148</v>
      </c>
    </row>
    <row r="1315" spans="61:67" x14ac:dyDescent="0.25">
      <c r="BI1315" s="2">
        <f t="shared" si="144"/>
        <v>109.41666666666481</v>
      </c>
      <c r="BJ1315" s="1">
        <f t="shared" si="145"/>
        <v>-2927553.2752915351</v>
      </c>
      <c r="BK1315" s="1">
        <f t="shared" si="146"/>
        <v>-3087522.4635004774</v>
      </c>
      <c r="BL1315" s="26">
        <f t="shared" si="141"/>
        <v>0</v>
      </c>
      <c r="BM1315" s="26">
        <f t="shared" si="147"/>
        <v>0</v>
      </c>
      <c r="BN1315">
        <f t="shared" si="142"/>
        <v>109.41666666666481</v>
      </c>
      <c r="BO1315">
        <f t="shared" si="143"/>
        <v>109.41666666666481</v>
      </c>
    </row>
    <row r="1316" spans="61:67" x14ac:dyDescent="0.25">
      <c r="BI1316" s="2">
        <f t="shared" si="144"/>
        <v>109.49999999999814</v>
      </c>
      <c r="BJ1316" s="1">
        <f t="shared" si="145"/>
        <v>-2936068.1026391755</v>
      </c>
      <c r="BK1316" s="1">
        <f t="shared" si="146"/>
        <v>-3096457.2099671667</v>
      </c>
      <c r="BL1316" s="26">
        <f t="shared" si="141"/>
        <v>0</v>
      </c>
      <c r="BM1316" s="26">
        <f t="shared" si="147"/>
        <v>0</v>
      </c>
      <c r="BN1316">
        <f t="shared" si="142"/>
        <v>109.49999999999814</v>
      </c>
      <c r="BO1316">
        <f t="shared" si="143"/>
        <v>109.49999999999814</v>
      </c>
    </row>
    <row r="1317" spans="61:67" x14ac:dyDescent="0.25">
      <c r="BI1317" s="2">
        <f t="shared" si="144"/>
        <v>109.58333333333147</v>
      </c>
      <c r="BJ1317" s="1">
        <f t="shared" si="145"/>
        <v>-2944605.2814086038</v>
      </c>
      <c r="BK1317" s="1">
        <f t="shared" si="146"/>
        <v>-3105415.4101433307</v>
      </c>
      <c r="BL1317" s="26">
        <f t="shared" si="141"/>
        <v>0</v>
      </c>
      <c r="BM1317" s="26">
        <f t="shared" si="147"/>
        <v>0</v>
      </c>
      <c r="BN1317">
        <f t="shared" si="142"/>
        <v>109.58333333333147</v>
      </c>
      <c r="BO1317">
        <f t="shared" si="143"/>
        <v>109.58333333333147</v>
      </c>
    </row>
    <row r="1318" spans="61:67" x14ac:dyDescent="0.25">
      <c r="BI1318" s="2">
        <f t="shared" si="144"/>
        <v>109.6666666666648</v>
      </c>
      <c r="BJ1318" s="1">
        <f t="shared" si="145"/>
        <v>-2953164.8702723016</v>
      </c>
      <c r="BK1318" s="1">
        <f t="shared" si="146"/>
        <v>-3114397.1255949573</v>
      </c>
      <c r="BL1318" s="26">
        <f t="shared" si="141"/>
        <v>0</v>
      </c>
      <c r="BM1318" s="26">
        <f t="shared" si="147"/>
        <v>0</v>
      </c>
      <c r="BN1318">
        <f t="shared" si="142"/>
        <v>109.6666666666648</v>
      </c>
      <c r="BO1318">
        <f t="shared" si="143"/>
        <v>109.6666666666648</v>
      </c>
    </row>
    <row r="1319" spans="61:67" x14ac:dyDescent="0.25">
      <c r="BI1319" s="2">
        <f t="shared" si="144"/>
        <v>109.74999999999812</v>
      </c>
      <c r="BJ1319" s="1">
        <f t="shared" si="145"/>
        <v>-2961746.9280567667</v>
      </c>
      <c r="BK1319" s="1">
        <f t="shared" si="146"/>
        <v>-3123402.4180496442</v>
      </c>
      <c r="BL1319" s="26">
        <f t="shared" si="141"/>
        <v>0</v>
      </c>
      <c r="BM1319" s="26">
        <f t="shared" si="147"/>
        <v>0</v>
      </c>
      <c r="BN1319">
        <f t="shared" si="142"/>
        <v>109.74999999999812</v>
      </c>
      <c r="BO1319">
        <f t="shared" si="143"/>
        <v>109.74999999999812</v>
      </c>
    </row>
    <row r="1320" spans="61:67" x14ac:dyDescent="0.25">
      <c r="BI1320" s="2">
        <f t="shared" si="144"/>
        <v>109.83333333333145</v>
      </c>
      <c r="BJ1320" s="1">
        <f t="shared" si="145"/>
        <v>-2970351.5137429158</v>
      </c>
      <c r="BK1320" s="1">
        <f t="shared" si="146"/>
        <v>-3132431.3493970251</v>
      </c>
      <c r="BL1320" s="26">
        <f t="shared" si="141"/>
        <v>0</v>
      </c>
      <c r="BM1320" s="26">
        <f t="shared" si="147"/>
        <v>0</v>
      </c>
      <c r="BN1320">
        <f t="shared" si="142"/>
        <v>109.83333333333145</v>
      </c>
      <c r="BO1320">
        <f t="shared" si="143"/>
        <v>109.83333333333145</v>
      </c>
    </row>
    <row r="1321" spans="61:67" x14ac:dyDescent="0.25">
      <c r="BI1321" s="2">
        <f t="shared" si="144"/>
        <v>109.91666666666478</v>
      </c>
      <c r="BJ1321" s="1">
        <f t="shared" si="145"/>
        <v>-2978978.6864664913</v>
      </c>
      <c r="BK1321" s="1">
        <f t="shared" si="146"/>
        <v>-3141483.9816891924</v>
      </c>
      <c r="BL1321" s="26">
        <f t="shared" si="141"/>
        <v>0</v>
      </c>
      <c r="BM1321" s="26">
        <f t="shared" si="147"/>
        <v>0</v>
      </c>
      <c r="BN1321">
        <f t="shared" si="142"/>
        <v>109.91666666666478</v>
      </c>
      <c r="BO1321">
        <f t="shared" si="143"/>
        <v>109.91666666666478</v>
      </c>
    </row>
    <row r="1322" spans="61:67" x14ac:dyDescent="0.25">
      <c r="BI1322" s="2">
        <f t="shared" si="144"/>
        <v>109.99999999999811</v>
      </c>
      <c r="BJ1322" s="1">
        <f t="shared" si="145"/>
        <v>-2987628.5055184662</v>
      </c>
      <c r="BK1322" s="1">
        <f t="shared" si="146"/>
        <v>-3150560.3771411269</v>
      </c>
      <c r="BL1322" s="26">
        <f t="shared" si="141"/>
        <v>0</v>
      </c>
      <c r="BM1322" s="26">
        <f t="shared" si="147"/>
        <v>0</v>
      </c>
      <c r="BN1322">
        <f t="shared" si="142"/>
        <v>109.99999999999811</v>
      </c>
      <c r="BO1322">
        <f t="shared" si="143"/>
        <v>109.99999999999811</v>
      </c>
    </row>
    <row r="1323" spans="61:67" x14ac:dyDescent="0.25">
      <c r="BI1323" s="2">
        <f t="shared" si="144"/>
        <v>110.08333333333144</v>
      </c>
      <c r="BJ1323" s="1">
        <f t="shared" si="145"/>
        <v>-2996301.0303454525</v>
      </c>
      <c r="BK1323" s="1">
        <f t="shared" si="146"/>
        <v>-3159660.5981311225</v>
      </c>
      <c r="BL1323" s="26">
        <f t="shared" si="141"/>
        <v>0</v>
      </c>
      <c r="BM1323" s="26">
        <f t="shared" si="147"/>
        <v>0</v>
      </c>
      <c r="BN1323">
        <f t="shared" si="142"/>
        <v>110.08333333333144</v>
      </c>
      <c r="BO1323">
        <f t="shared" si="143"/>
        <v>110.08333333333144</v>
      </c>
    </row>
    <row r="1324" spans="61:67" x14ac:dyDescent="0.25">
      <c r="BI1324" s="2">
        <f t="shared" si="144"/>
        <v>110.16666666666477</v>
      </c>
      <c r="BJ1324" s="1">
        <f t="shared" si="145"/>
        <v>-3004996.3205501097</v>
      </c>
      <c r="BK1324" s="1">
        <f t="shared" si="146"/>
        <v>-3168784.7072012168</v>
      </c>
      <c r="BL1324" s="26">
        <f t="shared" si="141"/>
        <v>0</v>
      </c>
      <c r="BM1324" s="26">
        <f t="shared" si="147"/>
        <v>0</v>
      </c>
      <c r="BN1324">
        <f t="shared" si="142"/>
        <v>110.16666666666477</v>
      </c>
      <c r="BO1324">
        <f t="shared" si="143"/>
        <v>110.16666666666477</v>
      </c>
    </row>
    <row r="1325" spans="61:67" x14ac:dyDescent="0.25">
      <c r="BI1325" s="2">
        <f t="shared" si="144"/>
        <v>110.2499999999981</v>
      </c>
      <c r="BJ1325" s="1">
        <f t="shared" si="145"/>
        <v>-3013714.4358915542</v>
      </c>
      <c r="BK1325" s="1">
        <f t="shared" si="146"/>
        <v>-3177932.7670576205</v>
      </c>
      <c r="BL1325" s="26">
        <f t="shared" si="141"/>
        <v>0</v>
      </c>
      <c r="BM1325" s="26">
        <f t="shared" si="147"/>
        <v>0</v>
      </c>
      <c r="BN1325">
        <f t="shared" si="142"/>
        <v>110.2499999999981</v>
      </c>
      <c r="BO1325">
        <f t="shared" si="143"/>
        <v>110.2499999999981</v>
      </c>
    </row>
    <row r="1326" spans="61:67" x14ac:dyDescent="0.25">
      <c r="BI1326" s="2">
        <f t="shared" si="144"/>
        <v>110.33333333333142</v>
      </c>
      <c r="BJ1326" s="1">
        <f t="shared" si="145"/>
        <v>-3022455.43628577</v>
      </c>
      <c r="BK1326" s="1">
        <f t="shared" si="146"/>
        <v>-3187104.8405711469</v>
      </c>
      <c r="BL1326" s="26">
        <f t="shared" si="141"/>
        <v>0</v>
      </c>
      <c r="BM1326" s="26">
        <f t="shared" si="147"/>
        <v>0</v>
      </c>
      <c r="BN1326">
        <f t="shared" si="142"/>
        <v>110.33333333333142</v>
      </c>
      <c r="BO1326">
        <f t="shared" si="143"/>
        <v>110.33333333333142</v>
      </c>
    </row>
    <row r="1327" spans="61:67" x14ac:dyDescent="0.25">
      <c r="BI1327" s="2">
        <f t="shared" si="144"/>
        <v>110.41666666666475</v>
      </c>
      <c r="BJ1327" s="1">
        <f t="shared" si="145"/>
        <v>-3031219.3818060206</v>
      </c>
      <c r="BK1327" s="1">
        <f t="shared" si="146"/>
        <v>-3196300.9907776467</v>
      </c>
      <c r="BL1327" s="26">
        <f t="shared" si="141"/>
        <v>0</v>
      </c>
      <c r="BM1327" s="26">
        <f t="shared" si="147"/>
        <v>0</v>
      </c>
      <c r="BN1327">
        <f t="shared" si="142"/>
        <v>110.41666666666475</v>
      </c>
      <c r="BO1327">
        <f t="shared" si="143"/>
        <v>110.41666666666475</v>
      </c>
    </row>
    <row r="1328" spans="61:67" x14ac:dyDescent="0.25">
      <c r="BI1328" s="2">
        <f t="shared" si="144"/>
        <v>110.49999999999808</v>
      </c>
      <c r="BJ1328" s="1">
        <f t="shared" si="145"/>
        <v>-3040006.3326832619</v>
      </c>
      <c r="BK1328" s="1">
        <f t="shared" si="146"/>
        <v>-3205521.2808784381</v>
      </c>
      <c r="BL1328" s="26">
        <f t="shared" si="141"/>
        <v>0</v>
      </c>
      <c r="BM1328" s="26">
        <f t="shared" si="147"/>
        <v>0</v>
      </c>
      <c r="BN1328">
        <f t="shared" si="142"/>
        <v>110.49999999999808</v>
      </c>
      <c r="BO1328">
        <f t="shared" si="143"/>
        <v>110.49999999999808</v>
      </c>
    </row>
    <row r="1329" spans="61:67" x14ac:dyDescent="0.25">
      <c r="BI1329" s="2">
        <f t="shared" si="144"/>
        <v>110.58333333333141</v>
      </c>
      <c r="BJ1329" s="1">
        <f t="shared" si="145"/>
        <v>-3048816.3493065559</v>
      </c>
      <c r="BK1329" s="1">
        <f t="shared" si="146"/>
        <v>-3214765.7742407443</v>
      </c>
      <c r="BL1329" s="26">
        <f t="shared" si="141"/>
        <v>0</v>
      </c>
      <c r="BM1329" s="26">
        <f t="shared" si="147"/>
        <v>0</v>
      </c>
      <c r="BN1329">
        <f t="shared" si="142"/>
        <v>110.58333333333141</v>
      </c>
      <c r="BO1329">
        <f t="shared" si="143"/>
        <v>110.58333333333141</v>
      </c>
    </row>
    <row r="1330" spans="61:67" x14ac:dyDescent="0.25">
      <c r="BI1330" s="2">
        <f t="shared" si="144"/>
        <v>110.66666666666474</v>
      </c>
      <c r="BJ1330" s="1">
        <f t="shared" si="145"/>
        <v>-3057649.4922234858</v>
      </c>
      <c r="BK1330" s="1">
        <f t="shared" si="146"/>
        <v>-3224034.5343981264</v>
      </c>
      <c r="BL1330" s="26">
        <f t="shared" si="141"/>
        <v>0</v>
      </c>
      <c r="BM1330" s="26">
        <f t="shared" si="147"/>
        <v>0</v>
      </c>
      <c r="BN1330">
        <f t="shared" si="142"/>
        <v>110.66666666666474</v>
      </c>
      <c r="BO1330">
        <f t="shared" si="143"/>
        <v>110.66666666666474</v>
      </c>
    </row>
    <row r="1331" spans="61:67" x14ac:dyDescent="0.25">
      <c r="BI1331" s="2">
        <f t="shared" si="144"/>
        <v>110.74999999999807</v>
      </c>
      <c r="BJ1331" s="1">
        <f t="shared" si="145"/>
        <v>-3066505.8221405726</v>
      </c>
      <c r="BK1331" s="1">
        <f t="shared" si="146"/>
        <v>-3233327.6250509219</v>
      </c>
      <c r="BL1331" s="26">
        <f t="shared" si="141"/>
        <v>0</v>
      </c>
      <c r="BM1331" s="26">
        <f t="shared" si="147"/>
        <v>0</v>
      </c>
      <c r="BN1331">
        <f t="shared" si="142"/>
        <v>110.74999999999807</v>
      </c>
      <c r="BO1331">
        <f t="shared" si="143"/>
        <v>110.74999999999807</v>
      </c>
    </row>
    <row r="1332" spans="61:67" x14ac:dyDescent="0.25">
      <c r="BI1332" s="2">
        <f t="shared" si="144"/>
        <v>110.8333333333314</v>
      </c>
      <c r="BJ1332" s="1">
        <f t="shared" si="145"/>
        <v>-3075385.399923692</v>
      </c>
      <c r="BK1332" s="1">
        <f t="shared" si="146"/>
        <v>-3242645.1100666807</v>
      </c>
      <c r="BL1332" s="26">
        <f t="shared" si="141"/>
        <v>0</v>
      </c>
      <c r="BM1332" s="26">
        <f t="shared" si="147"/>
        <v>0</v>
      </c>
      <c r="BN1332">
        <f t="shared" si="142"/>
        <v>110.8333333333314</v>
      </c>
      <c r="BO1332">
        <f t="shared" si="143"/>
        <v>110.8333333333314</v>
      </c>
    </row>
    <row r="1333" spans="61:67" x14ac:dyDescent="0.25">
      <c r="BI1333" s="2">
        <f t="shared" si="144"/>
        <v>110.91666666666472</v>
      </c>
      <c r="BJ1333" s="1">
        <f t="shared" si="145"/>
        <v>-3084288.2865984919</v>
      </c>
      <c r="BK1333" s="1">
        <f t="shared" si="146"/>
        <v>-3251987.0534806061</v>
      </c>
      <c r="BL1333" s="26">
        <f t="shared" si="141"/>
        <v>0</v>
      </c>
      <c r="BM1333" s="26">
        <f t="shared" si="147"/>
        <v>0</v>
      </c>
      <c r="BN1333">
        <f t="shared" si="142"/>
        <v>110.91666666666472</v>
      </c>
      <c r="BO1333">
        <f t="shared" si="143"/>
        <v>110.91666666666472</v>
      </c>
    </row>
    <row r="1334" spans="61:67" x14ac:dyDescent="0.25">
      <c r="BI1334" s="2">
        <f t="shared" si="144"/>
        <v>110.99999999999805</v>
      </c>
      <c r="BJ1334" s="1">
        <f t="shared" si="145"/>
        <v>-3093214.5433508134</v>
      </c>
      <c r="BK1334" s="1">
        <f t="shared" si="146"/>
        <v>-3261353.5194959929</v>
      </c>
      <c r="BL1334" s="26">
        <f t="shared" si="141"/>
        <v>0</v>
      </c>
      <c r="BM1334" s="26">
        <f t="shared" si="147"/>
        <v>0</v>
      </c>
      <c r="BN1334">
        <f t="shared" si="142"/>
        <v>110.99999999999805</v>
      </c>
      <c r="BO1334">
        <f t="shared" si="143"/>
        <v>110.99999999999805</v>
      </c>
    </row>
    <row r="1335" spans="61:67" x14ac:dyDescent="0.25">
      <c r="BI1335" s="2">
        <f t="shared" si="144"/>
        <v>111.08333333333138</v>
      </c>
      <c r="BJ1335" s="1">
        <f t="shared" si="145"/>
        <v>-3102164.2315271096</v>
      </c>
      <c r="BK1335" s="1">
        <f t="shared" si="146"/>
        <v>-3270744.5724846702</v>
      </c>
      <c r="BL1335" s="26">
        <f t="shared" si="141"/>
        <v>0</v>
      </c>
      <c r="BM1335" s="26">
        <f t="shared" si="147"/>
        <v>0</v>
      </c>
      <c r="BN1335">
        <f t="shared" si="142"/>
        <v>111.08333333333138</v>
      </c>
      <c r="BO1335">
        <f t="shared" si="143"/>
        <v>111.08333333333138</v>
      </c>
    </row>
    <row r="1336" spans="61:67" x14ac:dyDescent="0.25">
      <c r="BI1336" s="2">
        <f t="shared" si="144"/>
        <v>111.16666666666471</v>
      </c>
      <c r="BJ1336" s="1">
        <f t="shared" si="145"/>
        <v>-3111137.4126348686</v>
      </c>
      <c r="BK1336" s="1">
        <f t="shared" si="146"/>
        <v>-3280160.2769874427</v>
      </c>
      <c r="BL1336" s="26">
        <f t="shared" si="141"/>
        <v>0</v>
      </c>
      <c r="BM1336" s="26">
        <f t="shared" si="147"/>
        <v>0</v>
      </c>
      <c r="BN1336">
        <f t="shared" si="142"/>
        <v>111.16666666666471</v>
      </c>
      <c r="BO1336">
        <f t="shared" si="143"/>
        <v>111.16666666666471</v>
      </c>
    </row>
    <row r="1337" spans="61:67" x14ac:dyDescent="0.25">
      <c r="BI1337" s="2">
        <f t="shared" si="144"/>
        <v>111.24999999999804</v>
      </c>
      <c r="BJ1337" s="1">
        <f t="shared" si="145"/>
        <v>-3120134.1483430355</v>
      </c>
      <c r="BK1337" s="1">
        <f t="shared" si="146"/>
        <v>-3289600.6977145351</v>
      </c>
      <c r="BL1337" s="26">
        <f t="shared" si="141"/>
        <v>0</v>
      </c>
      <c r="BM1337" s="26">
        <f t="shared" si="147"/>
        <v>0</v>
      </c>
      <c r="BN1337">
        <f t="shared" si="142"/>
        <v>111.24999999999804</v>
      </c>
      <c r="BO1337">
        <f t="shared" si="143"/>
        <v>111.24999999999804</v>
      </c>
    </row>
    <row r="1338" spans="61:67" x14ac:dyDescent="0.25">
      <c r="BI1338" s="2">
        <f t="shared" si="144"/>
        <v>111.33333333333137</v>
      </c>
      <c r="BJ1338" s="1">
        <f t="shared" si="145"/>
        <v>-3129154.5004824363</v>
      </c>
      <c r="BK1338" s="1">
        <f t="shared" si="146"/>
        <v>-3299065.899546036</v>
      </c>
      <c r="BL1338" s="26">
        <f t="shared" si="141"/>
        <v>0</v>
      </c>
      <c r="BM1338" s="26">
        <f t="shared" si="147"/>
        <v>0</v>
      </c>
      <c r="BN1338">
        <f t="shared" si="142"/>
        <v>111.33333333333137</v>
      </c>
      <c r="BO1338">
        <f t="shared" si="143"/>
        <v>111.33333333333137</v>
      </c>
    </row>
    <row r="1339" spans="61:67" x14ac:dyDescent="0.25">
      <c r="BI1339" s="2">
        <f t="shared" si="144"/>
        <v>111.4166666666647</v>
      </c>
      <c r="BJ1339" s="1">
        <f t="shared" si="145"/>
        <v>-3138198.5310462029</v>
      </c>
      <c r="BK1339" s="1">
        <f t="shared" si="146"/>
        <v>-3308555.9475323446</v>
      </c>
      <c r="BL1339" s="26">
        <f t="shared" si="141"/>
        <v>0</v>
      </c>
      <c r="BM1339" s="26">
        <f t="shared" si="147"/>
        <v>0</v>
      </c>
      <c r="BN1339">
        <f t="shared" si="142"/>
        <v>111.4166666666647</v>
      </c>
      <c r="BO1339">
        <f t="shared" si="143"/>
        <v>111.4166666666647</v>
      </c>
    </row>
    <row r="1340" spans="61:67" x14ac:dyDescent="0.25">
      <c r="BI1340" s="2">
        <f t="shared" si="144"/>
        <v>111.49999999999802</v>
      </c>
      <c r="BJ1340" s="1">
        <f t="shared" si="145"/>
        <v>-3147266.3021901995</v>
      </c>
      <c r="BK1340" s="1">
        <f t="shared" si="146"/>
        <v>-3318070.9068946172</v>
      </c>
      <c r="BL1340" s="26">
        <f t="shared" si="141"/>
        <v>0</v>
      </c>
      <c r="BM1340" s="26">
        <f t="shared" si="147"/>
        <v>0</v>
      </c>
      <c r="BN1340">
        <f t="shared" si="142"/>
        <v>111.49999999999802</v>
      </c>
      <c r="BO1340">
        <f t="shared" si="143"/>
        <v>111.49999999999802</v>
      </c>
    </row>
    <row r="1341" spans="61:67" x14ac:dyDescent="0.25">
      <c r="BI1341" s="2">
        <f t="shared" si="144"/>
        <v>111.58333333333135</v>
      </c>
      <c r="BJ1341" s="1">
        <f t="shared" si="145"/>
        <v>-3156357.8762334492</v>
      </c>
      <c r="BK1341" s="1">
        <f t="shared" si="146"/>
        <v>-3327610.8430252159</v>
      </c>
      <c r="BL1341" s="26">
        <f t="shared" si="141"/>
        <v>0</v>
      </c>
      <c r="BM1341" s="26">
        <f t="shared" si="147"/>
        <v>0</v>
      </c>
      <c r="BN1341">
        <f t="shared" si="142"/>
        <v>111.58333333333135</v>
      </c>
      <c r="BO1341">
        <f t="shared" si="143"/>
        <v>111.58333333333135</v>
      </c>
    </row>
    <row r="1342" spans="61:67" x14ac:dyDescent="0.25">
      <c r="BI1342" s="2">
        <f t="shared" si="144"/>
        <v>111.66666666666468</v>
      </c>
      <c r="BJ1342" s="1">
        <f t="shared" si="145"/>
        <v>-3165473.3156585624</v>
      </c>
      <c r="BK1342" s="1">
        <f t="shared" si="146"/>
        <v>-3337175.8214881574</v>
      </c>
      <c r="BL1342" s="26">
        <f t="shared" si="141"/>
        <v>0</v>
      </c>
      <c r="BM1342" s="26">
        <f t="shared" si="147"/>
        <v>0</v>
      </c>
      <c r="BN1342">
        <f t="shared" si="142"/>
        <v>111.66666666666468</v>
      </c>
      <c r="BO1342">
        <f t="shared" si="143"/>
        <v>111.66666666666468</v>
      </c>
    </row>
    <row r="1343" spans="61:67" x14ac:dyDescent="0.25">
      <c r="BI1343" s="2">
        <f t="shared" si="144"/>
        <v>111.74999999999801</v>
      </c>
      <c r="BJ1343" s="1">
        <f t="shared" si="145"/>
        <v>-3174612.6831121664</v>
      </c>
      <c r="BK1343" s="1">
        <f t="shared" si="146"/>
        <v>-3346765.9080195641</v>
      </c>
      <c r="BL1343" s="26">
        <f t="shared" si="141"/>
        <v>0</v>
      </c>
      <c r="BM1343" s="26">
        <f t="shared" si="147"/>
        <v>0</v>
      </c>
      <c r="BN1343">
        <f t="shared" si="142"/>
        <v>111.74999999999801</v>
      </c>
      <c r="BO1343">
        <f t="shared" si="143"/>
        <v>111.74999999999801</v>
      </c>
    </row>
    <row r="1344" spans="61:67" x14ac:dyDescent="0.25">
      <c r="BI1344" s="2">
        <f t="shared" si="144"/>
        <v>111.83333333333134</v>
      </c>
      <c r="BJ1344" s="1">
        <f t="shared" si="145"/>
        <v>-3183776.041405336</v>
      </c>
      <c r="BK1344" s="1">
        <f t="shared" si="146"/>
        <v>-3356381.1685281158</v>
      </c>
      <c r="BL1344" s="26">
        <f t="shared" si="141"/>
        <v>0</v>
      </c>
      <c r="BM1344" s="26">
        <f t="shared" si="147"/>
        <v>0</v>
      </c>
      <c r="BN1344">
        <f t="shared" si="142"/>
        <v>111.83333333333134</v>
      </c>
      <c r="BO1344">
        <f t="shared" si="143"/>
        <v>111.83333333333134</v>
      </c>
    </row>
    <row r="1345" spans="61:67" x14ac:dyDescent="0.25">
      <c r="BI1345" s="2">
        <f t="shared" si="144"/>
        <v>111.91666666666467</v>
      </c>
      <c r="BJ1345" s="1">
        <f t="shared" si="145"/>
        <v>-3192963.4535140255</v>
      </c>
      <c r="BK1345" s="1">
        <f t="shared" si="146"/>
        <v>-3366021.6690955027</v>
      </c>
      <c r="BL1345" s="26">
        <f t="shared" si="141"/>
        <v>0</v>
      </c>
      <c r="BM1345" s="26">
        <f t="shared" si="147"/>
        <v>0</v>
      </c>
      <c r="BN1345">
        <f t="shared" si="142"/>
        <v>111.91666666666467</v>
      </c>
      <c r="BO1345">
        <f t="shared" si="143"/>
        <v>111.91666666666467</v>
      </c>
    </row>
    <row r="1346" spans="61:67" x14ac:dyDescent="0.25">
      <c r="BI1346" s="2">
        <f t="shared" si="144"/>
        <v>111.999999999998</v>
      </c>
      <c r="BJ1346" s="1">
        <f t="shared" si="145"/>
        <v>-3202174.9825794999</v>
      </c>
      <c r="BK1346" s="1">
        <f t="shared" si="146"/>
        <v>-3375687.4759768788</v>
      </c>
      <c r="BL1346" s="26">
        <f t="shared" ref="BL1346:BL1414" si="148">IF(BI1346&gt;$G$12,0,1)</f>
        <v>0</v>
      </c>
      <c r="BM1346" s="26">
        <f t="shared" si="147"/>
        <v>0</v>
      </c>
      <c r="BN1346">
        <f t="shared" ref="BN1346:BN1409" si="149">IF(BK1346&lt;0,BI1346,999)</f>
        <v>111.999999999998</v>
      </c>
      <c r="BO1346">
        <f t="shared" ref="BO1346:BO1414" si="150">IF(BJ1346&lt;0,BI1346,999)</f>
        <v>111.999999999998</v>
      </c>
    </row>
    <row r="1347" spans="61:67" x14ac:dyDescent="0.25">
      <c r="BI1347" s="2">
        <f t="shared" ref="BI1347:BI1414" si="151">BI1346+1/12</f>
        <v>112.08333333333132</v>
      </c>
      <c r="BJ1347" s="1">
        <f t="shared" ref="BJ1347:BJ1414" si="152">BJ1346*(1+$C$4/12) - $C$3</f>
        <v>-3211410.6919087716</v>
      </c>
      <c r="BK1347" s="1">
        <f t="shared" si="146"/>
        <v>-3385378.6556013185</v>
      </c>
      <c r="BL1347" s="26">
        <f t="shared" si="148"/>
        <v>0</v>
      </c>
      <c r="BM1347" s="26">
        <f t="shared" si="147"/>
        <v>0</v>
      </c>
      <c r="BN1347">
        <f t="shared" si="149"/>
        <v>112.08333333333132</v>
      </c>
      <c r="BO1347">
        <f t="shared" si="150"/>
        <v>112.08333333333132</v>
      </c>
    </row>
    <row r="1348" spans="61:67" x14ac:dyDescent="0.25">
      <c r="BI1348" s="2">
        <f t="shared" si="151"/>
        <v>112.16666666666465</v>
      </c>
      <c r="BJ1348" s="1">
        <f t="shared" si="152"/>
        <v>-3220670.6449750327</v>
      </c>
      <c r="BK1348" s="1">
        <f t="shared" ref="BK1348:BK1411" si="153">BK1347*(1+$D$4/12)-$C$3-($D$3-$C$3)*BL1348</f>
        <v>-3395095.2745722723</v>
      </c>
      <c r="BL1348" s="26">
        <f t="shared" si="148"/>
        <v>0</v>
      </c>
      <c r="BM1348" s="26">
        <f t="shared" si="147"/>
        <v>0</v>
      </c>
      <c r="BN1348">
        <f t="shared" si="149"/>
        <v>112.16666666666465</v>
      </c>
      <c r="BO1348">
        <f t="shared" si="150"/>
        <v>112.16666666666465</v>
      </c>
    </row>
    <row r="1349" spans="61:67" x14ac:dyDescent="0.25">
      <c r="BI1349" s="2">
        <f t="shared" si="151"/>
        <v>112.24999999999798</v>
      </c>
      <c r="BJ1349" s="1">
        <f t="shared" si="152"/>
        <v>-3229954.9054180924</v>
      </c>
      <c r="BK1349" s="1">
        <f t="shared" si="153"/>
        <v>-3404837.3996680249</v>
      </c>
      <c r="BL1349" s="26">
        <f t="shared" si="148"/>
        <v>0</v>
      </c>
      <c r="BM1349" s="26">
        <f t="shared" si="147"/>
        <v>0</v>
      </c>
      <c r="BN1349">
        <f t="shared" si="149"/>
        <v>112.24999999999798</v>
      </c>
      <c r="BO1349">
        <f t="shared" si="150"/>
        <v>112.24999999999798</v>
      </c>
    </row>
    <row r="1350" spans="61:67" x14ac:dyDescent="0.25">
      <c r="BI1350" s="2">
        <f t="shared" si="151"/>
        <v>112.33333333333131</v>
      </c>
      <c r="BJ1350" s="1">
        <f t="shared" si="152"/>
        <v>-3239263.5370448153</v>
      </c>
      <c r="BK1350" s="1">
        <f t="shared" si="153"/>
        <v>-3414605.0978421536</v>
      </c>
      <c r="BL1350" s="26">
        <f t="shared" si="148"/>
        <v>0</v>
      </c>
      <c r="BM1350" s="26">
        <f t="shared" si="147"/>
        <v>0</v>
      </c>
      <c r="BN1350">
        <f t="shared" si="149"/>
        <v>112.33333333333131</v>
      </c>
      <c r="BO1350">
        <f t="shared" si="150"/>
        <v>112.33333333333131</v>
      </c>
    </row>
    <row r="1351" spans="61:67" x14ac:dyDescent="0.25">
      <c r="BI1351" s="2">
        <f t="shared" si="151"/>
        <v>112.41666666666464</v>
      </c>
      <c r="BJ1351" s="1">
        <f t="shared" si="152"/>
        <v>-3248596.603829558</v>
      </c>
      <c r="BK1351" s="1">
        <f t="shared" si="153"/>
        <v>-3424398.4362239898</v>
      </c>
      <c r="BL1351" s="26">
        <f t="shared" si="148"/>
        <v>0</v>
      </c>
      <c r="BM1351" s="26">
        <f t="shared" si="147"/>
        <v>0</v>
      </c>
      <c r="BN1351">
        <f t="shared" si="149"/>
        <v>112.41666666666464</v>
      </c>
      <c r="BO1351">
        <f t="shared" si="150"/>
        <v>112.41666666666464</v>
      </c>
    </row>
    <row r="1352" spans="61:67" x14ac:dyDescent="0.25">
      <c r="BI1352" s="2">
        <f t="shared" si="151"/>
        <v>112.49999999999797</v>
      </c>
      <c r="BJ1352" s="1">
        <f t="shared" si="152"/>
        <v>-3257954.1699146111</v>
      </c>
      <c r="BK1352" s="1">
        <f t="shared" si="153"/>
        <v>-3434217.4821190783</v>
      </c>
      <c r="BL1352" s="26">
        <f t="shared" si="148"/>
        <v>0</v>
      </c>
      <c r="BM1352" s="26">
        <f t="shared" si="147"/>
        <v>0</v>
      </c>
      <c r="BN1352">
        <f t="shared" si="149"/>
        <v>112.49999999999797</v>
      </c>
      <c r="BO1352">
        <f t="shared" si="150"/>
        <v>112.49999999999797</v>
      </c>
    </row>
    <row r="1353" spans="61:67" x14ac:dyDescent="0.25">
      <c r="BI1353" s="2">
        <f t="shared" si="151"/>
        <v>112.5833333333313</v>
      </c>
      <c r="BJ1353" s="1">
        <f t="shared" si="152"/>
        <v>-3267336.2996106371</v>
      </c>
      <c r="BK1353" s="1">
        <f t="shared" si="153"/>
        <v>-3444062.3030096414</v>
      </c>
      <c r="BL1353" s="26">
        <f t="shared" si="148"/>
        <v>0</v>
      </c>
      <c r="BM1353" s="26">
        <f t="shared" si="147"/>
        <v>0</v>
      </c>
      <c r="BN1353">
        <f t="shared" si="149"/>
        <v>112.5833333333313</v>
      </c>
      <c r="BO1353">
        <f t="shared" si="150"/>
        <v>112.5833333333313</v>
      </c>
    </row>
    <row r="1354" spans="61:67" x14ac:dyDescent="0.25">
      <c r="BI1354" s="2">
        <f t="shared" si="151"/>
        <v>112.66666666666463</v>
      </c>
      <c r="BJ1354" s="1">
        <f t="shared" si="152"/>
        <v>-3276743.0573971155</v>
      </c>
      <c r="BK1354" s="1">
        <f t="shared" si="153"/>
        <v>-3453932.9665550422</v>
      </c>
      <c r="BL1354" s="26">
        <f t="shared" si="148"/>
        <v>0</v>
      </c>
      <c r="BM1354" s="26">
        <f t="shared" si="147"/>
        <v>0</v>
      </c>
      <c r="BN1354">
        <f t="shared" si="149"/>
        <v>112.66666666666463</v>
      </c>
      <c r="BO1354">
        <f t="shared" si="150"/>
        <v>112.66666666666463</v>
      </c>
    </row>
    <row r="1355" spans="61:67" x14ac:dyDescent="0.25">
      <c r="BI1355" s="2">
        <f t="shared" si="151"/>
        <v>112.74999999999795</v>
      </c>
      <c r="BJ1355" s="1">
        <f t="shared" si="152"/>
        <v>-3286174.5079227835</v>
      </c>
      <c r="BK1355" s="1">
        <f t="shared" si="153"/>
        <v>-3463829.5405922495</v>
      </c>
      <c r="BL1355" s="26">
        <f t="shared" si="148"/>
        <v>0</v>
      </c>
      <c r="BM1355" s="26">
        <f t="shared" si="147"/>
        <v>0</v>
      </c>
      <c r="BN1355">
        <f t="shared" si="149"/>
        <v>112.74999999999795</v>
      </c>
      <c r="BO1355">
        <f t="shared" si="150"/>
        <v>112.74999999999795</v>
      </c>
    </row>
    <row r="1356" spans="61:67" x14ac:dyDescent="0.25">
      <c r="BI1356" s="2">
        <f t="shared" si="151"/>
        <v>112.83333333333128</v>
      </c>
      <c r="BJ1356" s="1">
        <f t="shared" si="152"/>
        <v>-3295630.7160060811</v>
      </c>
      <c r="BK1356" s="1">
        <f t="shared" si="153"/>
        <v>-3473752.0931363045</v>
      </c>
      <c r="BL1356" s="26">
        <f t="shared" si="148"/>
        <v>0</v>
      </c>
      <c r="BM1356" s="26">
        <f t="shared" si="147"/>
        <v>0</v>
      </c>
      <c r="BN1356">
        <f t="shared" si="149"/>
        <v>112.83333333333128</v>
      </c>
      <c r="BO1356">
        <f t="shared" si="150"/>
        <v>112.83333333333128</v>
      </c>
    </row>
    <row r="1357" spans="61:67" x14ac:dyDescent="0.25">
      <c r="BI1357" s="2">
        <f t="shared" si="151"/>
        <v>112.91666666666461</v>
      </c>
      <c r="BJ1357" s="1">
        <f t="shared" si="152"/>
        <v>-3305111.7466355972</v>
      </c>
      <c r="BK1357" s="1">
        <f t="shared" si="153"/>
        <v>-3483700.6923807878</v>
      </c>
      <c r="BL1357" s="26">
        <f t="shared" si="148"/>
        <v>0</v>
      </c>
      <c r="BM1357" s="26">
        <f t="shared" si="147"/>
        <v>0</v>
      </c>
      <c r="BN1357">
        <f t="shared" si="149"/>
        <v>112.91666666666461</v>
      </c>
      <c r="BO1357">
        <f t="shared" si="150"/>
        <v>112.91666666666461</v>
      </c>
    </row>
    <row r="1358" spans="61:67" x14ac:dyDescent="0.25">
      <c r="BI1358" s="2">
        <f t="shared" si="151"/>
        <v>112.99999999999794</v>
      </c>
      <c r="BJ1358" s="1">
        <f t="shared" si="152"/>
        <v>-3314617.6649705158</v>
      </c>
      <c r="BK1358" s="1">
        <f t="shared" si="153"/>
        <v>-3493675.4066982879</v>
      </c>
      <c r="BL1358" s="26">
        <f t="shared" si="148"/>
        <v>0</v>
      </c>
      <c r="BM1358" s="26">
        <f t="shared" si="147"/>
        <v>0</v>
      </c>
      <c r="BN1358">
        <f t="shared" si="149"/>
        <v>112.99999999999794</v>
      </c>
      <c r="BO1358">
        <f t="shared" si="150"/>
        <v>112.99999999999794</v>
      </c>
    </row>
    <row r="1359" spans="61:67" x14ac:dyDescent="0.25">
      <c r="BI1359" s="2">
        <f t="shared" si="151"/>
        <v>113.08333333333127</v>
      </c>
      <c r="BJ1359" s="1">
        <f t="shared" si="152"/>
        <v>-3324148.5363410637</v>
      </c>
      <c r="BK1359" s="1">
        <f t="shared" si="153"/>
        <v>-3503676.3046408715</v>
      </c>
      <c r="BL1359" s="26">
        <f t="shared" si="148"/>
        <v>0</v>
      </c>
      <c r="BM1359" s="26">
        <f t="shared" si="147"/>
        <v>0</v>
      </c>
      <c r="BN1359">
        <f t="shared" si="149"/>
        <v>113.08333333333127</v>
      </c>
      <c r="BO1359">
        <f t="shared" si="150"/>
        <v>113.08333333333127</v>
      </c>
    </row>
    <row r="1360" spans="61:67" x14ac:dyDescent="0.25">
      <c r="BI1360" s="2">
        <f t="shared" si="151"/>
        <v>113.1666666666646</v>
      </c>
      <c r="BJ1360" s="1">
        <f t="shared" si="152"/>
        <v>-3333704.4262489593</v>
      </c>
      <c r="BK1360" s="1">
        <f t="shared" si="153"/>
        <v>-3513703.4549405542</v>
      </c>
      <c r="BL1360" s="26">
        <f t="shared" si="148"/>
        <v>0</v>
      </c>
      <c r="BM1360" s="26">
        <f t="shared" si="147"/>
        <v>0</v>
      </c>
      <c r="BN1360">
        <f t="shared" si="149"/>
        <v>113.1666666666646</v>
      </c>
      <c r="BO1360">
        <f t="shared" si="150"/>
        <v>113.1666666666646</v>
      </c>
    </row>
    <row r="1361" spans="61:67" x14ac:dyDescent="0.25">
      <c r="BI1361" s="2">
        <f t="shared" si="151"/>
        <v>113.24999999999793</v>
      </c>
      <c r="BJ1361" s="1">
        <f t="shared" si="152"/>
        <v>-3343285.400367863</v>
      </c>
      <c r="BK1361" s="1">
        <f t="shared" si="153"/>
        <v>-3523756.9265097734</v>
      </c>
      <c r="BL1361" s="26">
        <f t="shared" si="148"/>
        <v>0</v>
      </c>
      <c r="BM1361" s="26">
        <f t="shared" si="147"/>
        <v>0</v>
      </c>
      <c r="BN1361">
        <f t="shared" si="149"/>
        <v>113.24999999999793</v>
      </c>
      <c r="BO1361">
        <f t="shared" si="150"/>
        <v>113.24999999999793</v>
      </c>
    </row>
    <row r="1362" spans="61:67" x14ac:dyDescent="0.25">
      <c r="BI1362" s="2">
        <f t="shared" si="151"/>
        <v>113.33333333333125</v>
      </c>
      <c r="BJ1362" s="1">
        <f t="shared" si="152"/>
        <v>-3352891.5245438288</v>
      </c>
      <c r="BK1362" s="1">
        <f t="shared" si="153"/>
        <v>-3533836.788441862</v>
      </c>
      <c r="BL1362" s="26">
        <f t="shared" si="148"/>
        <v>0</v>
      </c>
      <c r="BM1362" s="26">
        <f t="shared" si="147"/>
        <v>0</v>
      </c>
      <c r="BN1362">
        <f t="shared" si="149"/>
        <v>113.33333333333125</v>
      </c>
      <c r="BO1362">
        <f t="shared" si="150"/>
        <v>113.33333333333125</v>
      </c>
    </row>
    <row r="1363" spans="61:67" x14ac:dyDescent="0.25">
      <c r="BI1363" s="2">
        <f t="shared" si="151"/>
        <v>113.41666666666458</v>
      </c>
      <c r="BJ1363" s="1">
        <f t="shared" si="152"/>
        <v>-3362522.8647957565</v>
      </c>
      <c r="BK1363" s="1">
        <f t="shared" si="153"/>
        <v>-3543943.1100115222</v>
      </c>
      <c r="BL1363" s="26">
        <f t="shared" si="148"/>
        <v>0</v>
      </c>
      <c r="BM1363" s="26">
        <f t="shared" si="147"/>
        <v>0</v>
      </c>
      <c r="BN1363">
        <f t="shared" si="149"/>
        <v>113.41666666666458</v>
      </c>
      <c r="BO1363">
        <f t="shared" si="150"/>
        <v>113.41666666666458</v>
      </c>
    </row>
    <row r="1364" spans="61:67" x14ac:dyDescent="0.25">
      <c r="BI1364" s="2">
        <f t="shared" si="151"/>
        <v>113.49999999999791</v>
      </c>
      <c r="BJ1364" s="1">
        <f t="shared" si="152"/>
        <v>-3372179.4873158457</v>
      </c>
      <c r="BK1364" s="1">
        <f t="shared" si="153"/>
        <v>-3554075.9606753029</v>
      </c>
      <c r="BL1364" s="26">
        <f t="shared" si="148"/>
        <v>0</v>
      </c>
      <c r="BM1364" s="26">
        <f t="shared" si="147"/>
        <v>0</v>
      </c>
      <c r="BN1364">
        <f t="shared" si="149"/>
        <v>113.49999999999791</v>
      </c>
      <c r="BO1364">
        <f t="shared" si="150"/>
        <v>113.49999999999791</v>
      </c>
    </row>
    <row r="1365" spans="61:67" x14ac:dyDescent="0.25">
      <c r="BI1365" s="2">
        <f t="shared" si="151"/>
        <v>113.58333333333124</v>
      </c>
      <c r="BJ1365" s="1">
        <f t="shared" si="152"/>
        <v>-3381861.4584700502</v>
      </c>
      <c r="BK1365" s="1">
        <f t="shared" si="153"/>
        <v>-3564235.4100720761</v>
      </c>
      <c r="BL1365" s="26">
        <f t="shared" si="148"/>
        <v>0</v>
      </c>
      <c r="BM1365" s="26">
        <f t="shared" si="147"/>
        <v>0</v>
      </c>
      <c r="BN1365">
        <f t="shared" si="149"/>
        <v>113.58333333333124</v>
      </c>
      <c r="BO1365">
        <f t="shared" si="150"/>
        <v>113.58333333333124</v>
      </c>
    </row>
    <row r="1366" spans="61:67" x14ac:dyDescent="0.25">
      <c r="BI1366" s="2">
        <f t="shared" si="151"/>
        <v>113.66666666666457</v>
      </c>
      <c r="BJ1366" s="1">
        <f t="shared" si="152"/>
        <v>-3391568.8447985346</v>
      </c>
      <c r="BK1366" s="1">
        <f t="shared" si="153"/>
        <v>-3574421.5280235158</v>
      </c>
      <c r="BL1366" s="26">
        <f t="shared" si="148"/>
        <v>0</v>
      </c>
      <c r="BM1366" s="26">
        <f t="shared" si="147"/>
        <v>0</v>
      </c>
      <c r="BN1366">
        <f t="shared" si="149"/>
        <v>113.66666666666457</v>
      </c>
      <c r="BO1366">
        <f t="shared" si="150"/>
        <v>113.66666666666457</v>
      </c>
    </row>
    <row r="1367" spans="61:67" x14ac:dyDescent="0.25">
      <c r="BI1367" s="2">
        <f t="shared" si="151"/>
        <v>113.7499999999979</v>
      </c>
      <c r="BJ1367" s="1">
        <f t="shared" si="152"/>
        <v>-3401301.713016131</v>
      </c>
      <c r="BK1367" s="1">
        <f t="shared" si="153"/>
        <v>-3584634.3845345778</v>
      </c>
      <c r="BL1367" s="26">
        <f t="shared" si="148"/>
        <v>0</v>
      </c>
      <c r="BM1367" s="26">
        <f t="shared" si="147"/>
        <v>0</v>
      </c>
      <c r="BN1367">
        <f t="shared" si="149"/>
        <v>113.7499999999979</v>
      </c>
      <c r="BO1367">
        <f t="shared" si="150"/>
        <v>113.7499999999979</v>
      </c>
    </row>
    <row r="1368" spans="61:67" x14ac:dyDescent="0.25">
      <c r="BI1368" s="2">
        <f t="shared" si="151"/>
        <v>113.83333333333123</v>
      </c>
      <c r="BJ1368" s="1">
        <f t="shared" si="152"/>
        <v>-3411060.1300127986</v>
      </c>
      <c r="BK1368" s="1">
        <f t="shared" si="153"/>
        <v>-3594874.0497939815</v>
      </c>
      <c r="BL1368" s="26">
        <f t="shared" si="148"/>
        <v>0</v>
      </c>
      <c r="BM1368" s="26">
        <f t="shared" si="147"/>
        <v>0</v>
      </c>
      <c r="BN1368">
        <f t="shared" si="149"/>
        <v>113.83333333333123</v>
      </c>
      <c r="BO1368">
        <f t="shared" si="150"/>
        <v>113.83333333333123</v>
      </c>
    </row>
    <row r="1369" spans="61:67" x14ac:dyDescent="0.25">
      <c r="BI1369" s="2">
        <f t="shared" si="151"/>
        <v>113.91666666666455</v>
      </c>
      <c r="BJ1369" s="1">
        <f t="shared" si="152"/>
        <v>-3420844.1628540824</v>
      </c>
      <c r="BK1369" s="1">
        <f t="shared" si="153"/>
        <v>-3605140.594174691</v>
      </c>
      <c r="BL1369" s="26">
        <f t="shared" si="148"/>
        <v>0</v>
      </c>
      <c r="BM1369" s="26">
        <f t="shared" si="147"/>
        <v>0</v>
      </c>
      <c r="BN1369">
        <f t="shared" si="149"/>
        <v>113.91666666666455</v>
      </c>
      <c r="BO1369">
        <f t="shared" si="150"/>
        <v>113.91666666666455</v>
      </c>
    </row>
    <row r="1370" spans="61:67" x14ac:dyDescent="0.25">
      <c r="BI1370" s="2">
        <f t="shared" si="151"/>
        <v>113.99999999999788</v>
      </c>
      <c r="BJ1370" s="1">
        <f t="shared" si="152"/>
        <v>-3430653.8787815748</v>
      </c>
      <c r="BK1370" s="1">
        <f t="shared" si="153"/>
        <v>-3615434.0882343999</v>
      </c>
      <c r="BL1370" s="26">
        <f t="shared" si="148"/>
        <v>0</v>
      </c>
      <c r="BM1370" s="26">
        <f t="shared" si="147"/>
        <v>0</v>
      </c>
      <c r="BN1370">
        <f t="shared" si="149"/>
        <v>113.99999999999788</v>
      </c>
      <c r="BO1370">
        <f t="shared" si="150"/>
        <v>113.99999999999788</v>
      </c>
    </row>
    <row r="1371" spans="61:67" x14ac:dyDescent="0.25">
      <c r="BI1371" s="2">
        <f t="shared" si="151"/>
        <v>114.08333333333121</v>
      </c>
      <c r="BJ1371" s="1">
        <f t="shared" si="152"/>
        <v>-3440489.3452133769</v>
      </c>
      <c r="BK1371" s="1">
        <f t="shared" si="153"/>
        <v>-3625754.6027160157</v>
      </c>
      <c r="BL1371" s="26">
        <f t="shared" si="148"/>
        <v>0</v>
      </c>
      <c r="BM1371" s="26">
        <f t="shared" ref="BM1371:BM1415" si="154">IF(AND(BL1371&gt;0,BK1371&gt;0),1,0)</f>
        <v>0</v>
      </c>
      <c r="BN1371">
        <f t="shared" si="149"/>
        <v>114.08333333333121</v>
      </c>
      <c r="BO1371">
        <f t="shared" si="150"/>
        <v>114.08333333333121</v>
      </c>
    </row>
    <row r="1372" spans="61:67" x14ac:dyDescent="0.25">
      <c r="BI1372" s="2">
        <f t="shared" si="151"/>
        <v>114.16666666666454</v>
      </c>
      <c r="BJ1372" s="1">
        <f t="shared" si="152"/>
        <v>-3450350.6297445623</v>
      </c>
      <c r="BK1372" s="1">
        <f t="shared" si="153"/>
        <v>-3636102.2085481454</v>
      </c>
      <c r="BL1372" s="26">
        <f t="shared" si="148"/>
        <v>0</v>
      </c>
      <c r="BM1372" s="26">
        <f t="shared" si="154"/>
        <v>0</v>
      </c>
      <c r="BN1372">
        <f t="shared" si="149"/>
        <v>114.16666666666454</v>
      </c>
      <c r="BO1372">
        <f t="shared" si="150"/>
        <v>114.16666666666454</v>
      </c>
    </row>
    <row r="1373" spans="61:67" x14ac:dyDescent="0.25">
      <c r="BI1373" s="2">
        <f t="shared" si="151"/>
        <v>114.24999999999787</v>
      </c>
      <c r="BJ1373" s="1">
        <f t="shared" si="152"/>
        <v>-3460237.8001476419</v>
      </c>
      <c r="BK1373" s="1">
        <f t="shared" si="153"/>
        <v>-3646476.9768455848</v>
      </c>
      <c r="BL1373" s="26">
        <f t="shared" si="148"/>
        <v>0</v>
      </c>
      <c r="BM1373" s="26">
        <f t="shared" si="154"/>
        <v>0</v>
      </c>
      <c r="BN1373">
        <f t="shared" si="149"/>
        <v>114.24999999999787</v>
      </c>
      <c r="BO1373">
        <f t="shared" si="150"/>
        <v>114.24999999999787</v>
      </c>
    </row>
    <row r="1374" spans="61:67" x14ac:dyDescent="0.25">
      <c r="BI1374" s="2">
        <f t="shared" si="151"/>
        <v>114.3333333333312</v>
      </c>
      <c r="BJ1374" s="1">
        <f t="shared" si="152"/>
        <v>-3470150.9243730297</v>
      </c>
      <c r="BK1374" s="1">
        <f t="shared" si="153"/>
        <v>-3656878.978909805</v>
      </c>
      <c r="BL1374" s="26">
        <f t="shared" si="148"/>
        <v>0</v>
      </c>
      <c r="BM1374" s="26">
        <f t="shared" si="154"/>
        <v>0</v>
      </c>
      <c r="BN1374">
        <f t="shared" si="149"/>
        <v>114.3333333333312</v>
      </c>
      <c r="BO1374">
        <f t="shared" si="150"/>
        <v>114.3333333333312</v>
      </c>
    </row>
    <row r="1375" spans="61:67" x14ac:dyDescent="0.25">
      <c r="BI1375" s="2">
        <f t="shared" si="151"/>
        <v>114.41666666666453</v>
      </c>
      <c r="BJ1375" s="1">
        <f t="shared" si="152"/>
        <v>-3480090.0705495095</v>
      </c>
      <c r="BK1375" s="1">
        <f t="shared" si="153"/>
        <v>-3667308.2862294437</v>
      </c>
      <c r="BL1375" s="26">
        <f t="shared" si="148"/>
        <v>0</v>
      </c>
      <c r="BM1375" s="26">
        <f t="shared" si="154"/>
        <v>0</v>
      </c>
      <c r="BN1375">
        <f t="shared" si="149"/>
        <v>114.41666666666453</v>
      </c>
      <c r="BO1375">
        <f t="shared" si="150"/>
        <v>114.41666666666453</v>
      </c>
    </row>
    <row r="1376" spans="61:67" x14ac:dyDescent="0.25">
      <c r="BI1376" s="2">
        <f t="shared" si="151"/>
        <v>114.49999999999785</v>
      </c>
      <c r="BJ1376" s="1">
        <f t="shared" si="152"/>
        <v>-3490055.3069847021</v>
      </c>
      <c r="BK1376" s="1">
        <f t="shared" si="153"/>
        <v>-3677764.9704807964</v>
      </c>
      <c r="BL1376" s="26">
        <f t="shared" si="148"/>
        <v>0</v>
      </c>
      <c r="BM1376" s="26">
        <f t="shared" si="154"/>
        <v>0</v>
      </c>
      <c r="BN1376">
        <f t="shared" si="149"/>
        <v>114.49999999999785</v>
      </c>
      <c r="BO1376">
        <f t="shared" si="150"/>
        <v>114.49999999999785</v>
      </c>
    </row>
    <row r="1377" spans="61:67" x14ac:dyDescent="0.25">
      <c r="BI1377" s="2">
        <f t="shared" si="151"/>
        <v>114.58333333333118</v>
      </c>
      <c r="BJ1377" s="1">
        <f t="shared" si="152"/>
        <v>-3500046.7021655375</v>
      </c>
      <c r="BK1377" s="1">
        <f t="shared" si="153"/>
        <v>-3688249.1035283087</v>
      </c>
      <c r="BL1377" s="26">
        <f t="shared" si="148"/>
        <v>0</v>
      </c>
      <c r="BM1377" s="26">
        <f t="shared" si="154"/>
        <v>0</v>
      </c>
      <c r="BN1377">
        <f t="shared" si="149"/>
        <v>114.58333333333118</v>
      </c>
      <c r="BO1377">
        <f t="shared" si="150"/>
        <v>114.58333333333118</v>
      </c>
    </row>
    <row r="1378" spans="61:67" x14ac:dyDescent="0.25">
      <c r="BI1378" s="2">
        <f t="shared" si="151"/>
        <v>114.66666666666451</v>
      </c>
      <c r="BJ1378" s="1">
        <f t="shared" si="152"/>
        <v>-3510064.3247587224</v>
      </c>
      <c r="BK1378" s="1">
        <f t="shared" si="153"/>
        <v>-3698760.7574250707</v>
      </c>
      <c r="BL1378" s="26">
        <f t="shared" si="148"/>
        <v>0</v>
      </c>
      <c r="BM1378" s="26">
        <f t="shared" si="154"/>
        <v>0</v>
      </c>
      <c r="BN1378">
        <f t="shared" si="149"/>
        <v>114.66666666666451</v>
      </c>
      <c r="BO1378">
        <f t="shared" si="150"/>
        <v>114.66666666666451</v>
      </c>
    </row>
    <row r="1379" spans="61:67" x14ac:dyDescent="0.25">
      <c r="BI1379" s="2">
        <f t="shared" si="151"/>
        <v>114.74999999999784</v>
      </c>
      <c r="BJ1379" s="1">
        <f t="shared" si="152"/>
        <v>-3520108.2436112142</v>
      </c>
      <c r="BK1379" s="1">
        <f t="shared" si="153"/>
        <v>-3709300.0044133118</v>
      </c>
      <c r="BL1379" s="26">
        <f t="shared" si="148"/>
        <v>0</v>
      </c>
      <c r="BM1379" s="26">
        <f t="shared" si="154"/>
        <v>0</v>
      </c>
      <c r="BN1379">
        <f t="shared" si="149"/>
        <v>114.74999999999784</v>
      </c>
      <c r="BO1379">
        <f t="shared" si="150"/>
        <v>114.74999999999784</v>
      </c>
    </row>
    <row r="1380" spans="61:67" x14ac:dyDescent="0.25">
      <c r="BI1380" s="2">
        <f t="shared" si="151"/>
        <v>114.83333333333117</v>
      </c>
      <c r="BJ1380" s="1">
        <f t="shared" si="152"/>
        <v>-3530178.5277506942</v>
      </c>
      <c r="BK1380" s="1">
        <f t="shared" si="153"/>
        <v>-3719866.9169248971</v>
      </c>
      <c r="BL1380" s="26">
        <f t="shared" si="148"/>
        <v>0</v>
      </c>
      <c r="BM1380" s="26">
        <f t="shared" si="154"/>
        <v>0</v>
      </c>
      <c r="BN1380">
        <f t="shared" si="149"/>
        <v>114.83333333333117</v>
      </c>
      <c r="BO1380">
        <f t="shared" si="150"/>
        <v>114.83333333333117</v>
      </c>
    </row>
    <row r="1381" spans="61:67" x14ac:dyDescent="0.25">
      <c r="BI1381" s="2">
        <f t="shared" si="151"/>
        <v>114.9166666666645</v>
      </c>
      <c r="BJ1381" s="1">
        <f t="shared" si="152"/>
        <v>-3540275.24638604</v>
      </c>
      <c r="BK1381" s="1">
        <f t="shared" si="153"/>
        <v>-3730461.5675818254</v>
      </c>
      <c r="BL1381" s="26">
        <f t="shared" si="148"/>
        <v>0</v>
      </c>
      <c r="BM1381" s="26">
        <f t="shared" si="154"/>
        <v>0</v>
      </c>
      <c r="BN1381">
        <f t="shared" si="149"/>
        <v>114.9166666666645</v>
      </c>
      <c r="BO1381">
        <f t="shared" si="150"/>
        <v>114.9166666666645</v>
      </c>
    </row>
    <row r="1382" spans="61:67" x14ac:dyDescent="0.25">
      <c r="BI1382" s="2">
        <f t="shared" si="151"/>
        <v>114.99999999999783</v>
      </c>
      <c r="BJ1382" s="1">
        <f t="shared" si="152"/>
        <v>-3550398.4689078038</v>
      </c>
      <c r="BK1382" s="1">
        <f t="shared" si="153"/>
        <v>-3741084.029196728</v>
      </c>
      <c r="BL1382" s="26">
        <f t="shared" si="148"/>
        <v>0</v>
      </c>
      <c r="BM1382" s="26">
        <f t="shared" si="154"/>
        <v>0</v>
      </c>
      <c r="BN1382">
        <f t="shared" si="149"/>
        <v>114.99999999999783</v>
      </c>
      <c r="BO1382">
        <f t="shared" si="150"/>
        <v>114.99999999999783</v>
      </c>
    </row>
    <row r="1383" spans="61:67" x14ac:dyDescent="0.25">
      <c r="BI1383" s="2">
        <f t="shared" si="151"/>
        <v>115.08333333333115</v>
      </c>
      <c r="BJ1383" s="1">
        <f t="shared" si="152"/>
        <v>-3560548.2648886871</v>
      </c>
      <c r="BK1383" s="1">
        <f t="shared" si="153"/>
        <v>-3751734.3747733696</v>
      </c>
      <c r="BL1383" s="26">
        <f t="shared" si="148"/>
        <v>0</v>
      </c>
      <c r="BM1383" s="26">
        <f t="shared" si="154"/>
        <v>0</v>
      </c>
      <c r="BN1383">
        <f t="shared" si="149"/>
        <v>115.08333333333115</v>
      </c>
      <c r="BO1383">
        <f t="shared" si="150"/>
        <v>115.08333333333115</v>
      </c>
    </row>
    <row r="1384" spans="61:67" x14ac:dyDescent="0.25">
      <c r="BI1384" s="2">
        <f t="shared" si="151"/>
        <v>115.16666666666448</v>
      </c>
      <c r="BJ1384" s="1">
        <f t="shared" si="152"/>
        <v>-3570724.7040840201</v>
      </c>
      <c r="BK1384" s="1">
        <f t="shared" si="153"/>
        <v>-3762412.67750715</v>
      </c>
      <c r="BL1384" s="26">
        <f t="shared" si="148"/>
        <v>0</v>
      </c>
      <c r="BM1384" s="26">
        <f t="shared" si="154"/>
        <v>0</v>
      </c>
      <c r="BN1384">
        <f t="shared" si="149"/>
        <v>115.16666666666448</v>
      </c>
      <c r="BO1384">
        <f t="shared" si="150"/>
        <v>115.16666666666448</v>
      </c>
    </row>
    <row r="1385" spans="61:67" x14ac:dyDescent="0.25">
      <c r="BI1385" s="2">
        <f t="shared" si="151"/>
        <v>115.24999999999781</v>
      </c>
      <c r="BJ1385" s="1">
        <f t="shared" si="152"/>
        <v>-3580927.8564322409</v>
      </c>
      <c r="BK1385" s="1">
        <f t="shared" si="153"/>
        <v>-3773119.0107856067</v>
      </c>
      <c r="BL1385" s="26">
        <f t="shared" si="148"/>
        <v>0</v>
      </c>
      <c r="BM1385" s="26">
        <f t="shared" si="154"/>
        <v>0</v>
      </c>
      <c r="BN1385">
        <f t="shared" si="149"/>
        <v>115.24999999999781</v>
      </c>
      <c r="BO1385">
        <f t="shared" si="150"/>
        <v>115.24999999999781</v>
      </c>
    </row>
    <row r="1386" spans="61:67" x14ac:dyDescent="0.25">
      <c r="BI1386" s="2">
        <f t="shared" si="151"/>
        <v>115.33333333333114</v>
      </c>
      <c r="BJ1386" s="1">
        <f t="shared" si="152"/>
        <v>-3591157.7920553759</v>
      </c>
      <c r="BK1386" s="1">
        <f t="shared" si="153"/>
        <v>-3783853.4481889191</v>
      </c>
      <c r="BL1386" s="26">
        <f t="shared" si="148"/>
        <v>0</v>
      </c>
      <c r="BM1386" s="26">
        <f t="shared" si="154"/>
        <v>0</v>
      </c>
      <c r="BN1386">
        <f t="shared" si="149"/>
        <v>115.33333333333114</v>
      </c>
      <c r="BO1386">
        <f t="shared" si="150"/>
        <v>115.33333333333114</v>
      </c>
    </row>
    <row r="1387" spans="61:67" x14ac:dyDescent="0.25">
      <c r="BI1387" s="2">
        <f t="shared" si="151"/>
        <v>115.41666666666447</v>
      </c>
      <c r="BJ1387" s="1">
        <f t="shared" si="152"/>
        <v>-3601414.5812595217</v>
      </c>
      <c r="BK1387" s="1">
        <f t="shared" si="153"/>
        <v>-3794616.0634904155</v>
      </c>
      <c r="BL1387" s="26">
        <f t="shared" si="148"/>
        <v>0</v>
      </c>
      <c r="BM1387" s="26">
        <f t="shared" si="154"/>
        <v>0</v>
      </c>
      <c r="BN1387">
        <f t="shared" si="149"/>
        <v>115.41666666666447</v>
      </c>
      <c r="BO1387">
        <f t="shared" si="150"/>
        <v>115.41666666666447</v>
      </c>
    </row>
    <row r="1388" spans="61:67" x14ac:dyDescent="0.25">
      <c r="BI1388" s="2">
        <f t="shared" si="151"/>
        <v>115.4999999999978</v>
      </c>
      <c r="BJ1388" s="1">
        <f t="shared" si="152"/>
        <v>-3611698.2945353282</v>
      </c>
      <c r="BK1388" s="1">
        <f t="shared" si="153"/>
        <v>-3805406.930657078</v>
      </c>
      <c r="BL1388" s="26">
        <f t="shared" si="148"/>
        <v>0</v>
      </c>
      <c r="BM1388" s="26">
        <f t="shared" si="154"/>
        <v>0</v>
      </c>
      <c r="BN1388">
        <f t="shared" si="149"/>
        <v>115.4999999999978</v>
      </c>
      <c r="BO1388">
        <f t="shared" si="150"/>
        <v>115.4999999999978</v>
      </c>
    </row>
    <row r="1389" spans="61:67" x14ac:dyDescent="0.25">
      <c r="BI1389" s="2">
        <f t="shared" si="151"/>
        <v>115.58333333333113</v>
      </c>
      <c r="BJ1389" s="1">
        <f t="shared" si="152"/>
        <v>-3622009.0025584837</v>
      </c>
      <c r="BK1389" s="1">
        <f t="shared" si="153"/>
        <v>-3816226.1238500532</v>
      </c>
      <c r="BL1389" s="26">
        <f t="shared" si="148"/>
        <v>0</v>
      </c>
      <c r="BM1389" s="26">
        <f t="shared" si="154"/>
        <v>0</v>
      </c>
      <c r="BN1389">
        <f t="shared" si="149"/>
        <v>115.58333333333113</v>
      </c>
      <c r="BO1389">
        <f t="shared" si="150"/>
        <v>115.58333333333113</v>
      </c>
    </row>
    <row r="1390" spans="61:67" x14ac:dyDescent="0.25">
      <c r="BI1390" s="2">
        <f t="shared" si="151"/>
        <v>115.66666666666445</v>
      </c>
      <c r="BJ1390" s="1">
        <f t="shared" si="152"/>
        <v>-3632346.7761902004</v>
      </c>
      <c r="BK1390" s="1">
        <f t="shared" si="153"/>
        <v>-3827073.7174251601</v>
      </c>
      <c r="BL1390" s="26">
        <f t="shared" si="148"/>
        <v>0</v>
      </c>
      <c r="BM1390" s="26">
        <f t="shared" si="154"/>
        <v>0</v>
      </c>
      <c r="BN1390">
        <f t="shared" si="149"/>
        <v>115.66666666666445</v>
      </c>
      <c r="BO1390">
        <f t="shared" si="150"/>
        <v>115.66666666666445</v>
      </c>
    </row>
    <row r="1391" spans="61:67" x14ac:dyDescent="0.25">
      <c r="BI1391" s="2">
        <f t="shared" si="151"/>
        <v>115.74999999999778</v>
      </c>
      <c r="BJ1391" s="1">
        <f t="shared" si="152"/>
        <v>-3642711.6864776998</v>
      </c>
      <c r="BK1391" s="1">
        <f t="shared" si="153"/>
        <v>-3837949.7859334014</v>
      </c>
      <c r="BL1391" s="26">
        <f t="shared" si="148"/>
        <v>0</v>
      </c>
      <c r="BM1391" s="26">
        <f t="shared" si="154"/>
        <v>0</v>
      </c>
      <c r="BN1391">
        <f t="shared" si="149"/>
        <v>115.74999999999778</v>
      </c>
      <c r="BO1391">
        <f t="shared" si="150"/>
        <v>115.74999999999778</v>
      </c>
    </row>
    <row r="1392" spans="61:67" x14ac:dyDescent="0.25">
      <c r="BI1392" s="2">
        <f t="shared" si="151"/>
        <v>115.83333333333111</v>
      </c>
      <c r="BJ1392" s="1">
        <f t="shared" si="152"/>
        <v>-3653103.8046547039</v>
      </c>
      <c r="BK1392" s="1">
        <f t="shared" si="153"/>
        <v>-3848854.4041214772</v>
      </c>
      <c r="BL1392" s="26">
        <f t="shared" si="148"/>
        <v>0</v>
      </c>
      <c r="BM1392" s="26">
        <f t="shared" si="154"/>
        <v>0</v>
      </c>
      <c r="BN1392">
        <f t="shared" si="149"/>
        <v>115.83333333333111</v>
      </c>
      <c r="BO1392">
        <f t="shared" si="150"/>
        <v>115.83333333333111</v>
      </c>
    </row>
    <row r="1393" spans="61:67" x14ac:dyDescent="0.25">
      <c r="BI1393" s="2">
        <f t="shared" si="151"/>
        <v>115.91666666666444</v>
      </c>
      <c r="BJ1393" s="1">
        <f t="shared" si="152"/>
        <v>-3663523.2021419229</v>
      </c>
      <c r="BK1393" s="1">
        <f t="shared" si="153"/>
        <v>-3859787.6469322965</v>
      </c>
      <c r="BL1393" s="26">
        <f t="shared" si="148"/>
        <v>0</v>
      </c>
      <c r="BM1393" s="26">
        <f t="shared" si="154"/>
        <v>0</v>
      </c>
      <c r="BN1393">
        <f t="shared" si="149"/>
        <v>115.91666666666444</v>
      </c>
      <c r="BO1393">
        <f t="shared" si="150"/>
        <v>115.91666666666444</v>
      </c>
    </row>
    <row r="1394" spans="61:67" x14ac:dyDescent="0.25">
      <c r="BI1394" s="2">
        <f t="shared" si="151"/>
        <v>115.99999999999777</v>
      </c>
      <c r="BJ1394" s="1">
        <f t="shared" si="152"/>
        <v>-3673969.9505475457</v>
      </c>
      <c r="BK1394" s="1">
        <f t="shared" si="153"/>
        <v>-3870749.5895054941</v>
      </c>
      <c r="BL1394" s="26">
        <f t="shared" si="148"/>
        <v>0</v>
      </c>
      <c r="BM1394" s="26">
        <f t="shared" si="154"/>
        <v>0</v>
      </c>
      <c r="BN1394">
        <f t="shared" si="149"/>
        <v>115.99999999999777</v>
      </c>
      <c r="BO1394">
        <f t="shared" si="150"/>
        <v>115.99999999999777</v>
      </c>
    </row>
    <row r="1395" spans="61:67" x14ac:dyDescent="0.25">
      <c r="BI1395" s="2">
        <f t="shared" si="151"/>
        <v>116.0833333333311</v>
      </c>
      <c r="BJ1395" s="1">
        <f t="shared" si="152"/>
        <v>-3684444.1216677334</v>
      </c>
      <c r="BK1395" s="1">
        <f t="shared" si="153"/>
        <v>-3881740.3071779464</v>
      </c>
      <c r="BL1395" s="26">
        <f t="shared" si="148"/>
        <v>0</v>
      </c>
      <c r="BM1395" s="26">
        <f t="shared" si="154"/>
        <v>0</v>
      </c>
      <c r="BN1395">
        <f t="shared" si="149"/>
        <v>116.0833333333311</v>
      </c>
      <c r="BO1395">
        <f t="shared" si="150"/>
        <v>116.0833333333311</v>
      </c>
    </row>
    <row r="1396" spans="61:67" x14ac:dyDescent="0.25">
      <c r="BI1396" s="2">
        <f t="shared" si="151"/>
        <v>116.16666666666443</v>
      </c>
      <c r="BJ1396" s="1">
        <f t="shared" si="152"/>
        <v>-3694945.7874871115</v>
      </c>
      <c r="BK1396" s="1">
        <f t="shared" si="153"/>
        <v>-3892759.8754842891</v>
      </c>
      <c r="BL1396" s="26">
        <f t="shared" si="148"/>
        <v>0</v>
      </c>
      <c r="BM1396" s="26">
        <f t="shared" si="154"/>
        <v>0</v>
      </c>
      <c r="BN1396">
        <f t="shared" si="149"/>
        <v>116.16666666666443</v>
      </c>
      <c r="BO1396">
        <f t="shared" si="150"/>
        <v>116.16666666666443</v>
      </c>
    </row>
    <row r="1397" spans="61:67" x14ac:dyDescent="0.25">
      <c r="BI1397" s="2">
        <f t="shared" si="151"/>
        <v>116.24999999999775</v>
      </c>
      <c r="BJ1397" s="1">
        <f t="shared" si="152"/>
        <v>-3705475.0201792656</v>
      </c>
      <c r="BK1397" s="1">
        <f t="shared" si="153"/>
        <v>-3903808.370157436</v>
      </c>
      <c r="BL1397" s="26">
        <f t="shared" si="148"/>
        <v>0</v>
      </c>
      <c r="BM1397" s="26">
        <f t="shared" si="154"/>
        <v>0</v>
      </c>
      <c r="BN1397">
        <f t="shared" si="149"/>
        <v>116.24999999999775</v>
      </c>
      <c r="BO1397">
        <f t="shared" si="150"/>
        <v>116.24999999999775</v>
      </c>
    </row>
    <row r="1398" spans="61:67" x14ac:dyDescent="0.25">
      <c r="BI1398" s="2">
        <f t="shared" si="151"/>
        <v>116.33333333333108</v>
      </c>
      <c r="BJ1398" s="1">
        <f t="shared" si="152"/>
        <v>-3716031.8921072367</v>
      </c>
      <c r="BK1398" s="1">
        <f t="shared" si="153"/>
        <v>-3914885.8671290996</v>
      </c>
      <c r="BL1398" s="26">
        <f t="shared" si="148"/>
        <v>0</v>
      </c>
      <c r="BM1398" s="26">
        <f t="shared" si="154"/>
        <v>0</v>
      </c>
      <c r="BN1398">
        <f t="shared" si="149"/>
        <v>116.33333333333108</v>
      </c>
      <c r="BO1398">
        <f t="shared" si="150"/>
        <v>116.33333333333108</v>
      </c>
    </row>
    <row r="1399" spans="61:67" x14ac:dyDescent="0.25">
      <c r="BI1399" s="2">
        <f t="shared" si="151"/>
        <v>116.41666666666441</v>
      </c>
      <c r="BJ1399" s="1">
        <f t="shared" si="152"/>
        <v>-3726616.4758240185</v>
      </c>
      <c r="BK1399" s="1">
        <f t="shared" si="153"/>
        <v>-3925992.442530314</v>
      </c>
      <c r="BL1399" s="26">
        <f t="shared" si="148"/>
        <v>0</v>
      </c>
      <c r="BM1399" s="26">
        <f t="shared" si="154"/>
        <v>0</v>
      </c>
      <c r="BN1399">
        <f t="shared" si="149"/>
        <v>116.41666666666441</v>
      </c>
      <c r="BO1399">
        <f t="shared" si="150"/>
        <v>116.41666666666441</v>
      </c>
    </row>
    <row r="1400" spans="61:67" x14ac:dyDescent="0.25">
      <c r="BI1400" s="2">
        <f t="shared" si="151"/>
        <v>116.49999999999774</v>
      </c>
      <c r="BJ1400" s="1">
        <f t="shared" si="152"/>
        <v>-3737228.8440730567</v>
      </c>
      <c r="BK1400" s="1">
        <f t="shared" si="153"/>
        <v>-3937128.1726919566</v>
      </c>
      <c r="BL1400" s="26">
        <f t="shared" si="148"/>
        <v>0</v>
      </c>
      <c r="BM1400" s="26">
        <f t="shared" si="154"/>
        <v>0</v>
      </c>
      <c r="BN1400">
        <f t="shared" si="149"/>
        <v>116.49999999999774</v>
      </c>
      <c r="BO1400">
        <f t="shared" si="150"/>
        <v>116.49999999999774</v>
      </c>
    </row>
    <row r="1401" spans="61:67" x14ac:dyDescent="0.25">
      <c r="BI1401" s="2">
        <f t="shared" si="151"/>
        <v>116.58333333333107</v>
      </c>
      <c r="BJ1401" s="1">
        <f t="shared" si="152"/>
        <v>-3747869.0697887489</v>
      </c>
      <c r="BK1401" s="1">
        <f t="shared" si="153"/>
        <v>-3948293.1341452734</v>
      </c>
      <c r="BL1401" s="26">
        <f t="shared" si="148"/>
        <v>0</v>
      </c>
      <c r="BM1401" s="26">
        <f t="shared" si="154"/>
        <v>0</v>
      </c>
      <c r="BN1401">
        <f t="shared" si="149"/>
        <v>116.58333333333107</v>
      </c>
      <c r="BO1401">
        <f t="shared" si="150"/>
        <v>116.58333333333107</v>
      </c>
    </row>
    <row r="1402" spans="61:67" x14ac:dyDescent="0.25">
      <c r="BI1402" s="2">
        <f t="shared" si="151"/>
        <v>116.6666666666644</v>
      </c>
      <c r="BJ1402" s="1">
        <f t="shared" si="152"/>
        <v>-3758537.2260969449</v>
      </c>
      <c r="BK1402" s="1">
        <f t="shared" si="153"/>
        <v>-3959487.4036224051</v>
      </c>
      <c r="BL1402" s="26">
        <f t="shared" si="148"/>
        <v>0</v>
      </c>
      <c r="BM1402" s="26">
        <f t="shared" si="154"/>
        <v>0</v>
      </c>
      <c r="BN1402">
        <f t="shared" si="149"/>
        <v>116.6666666666644</v>
      </c>
      <c r="BO1402">
        <f t="shared" si="150"/>
        <v>116.6666666666644</v>
      </c>
    </row>
    <row r="1403" spans="61:67" x14ac:dyDescent="0.25">
      <c r="BI1403" s="2">
        <f t="shared" si="151"/>
        <v>116.74999999999773</v>
      </c>
      <c r="BJ1403" s="1">
        <f t="shared" si="152"/>
        <v>-3769233.3863154496</v>
      </c>
      <c r="BK1403" s="1">
        <f t="shared" si="153"/>
        <v>-3970711.0580569142</v>
      </c>
      <c r="BL1403" s="26">
        <f t="shared" si="148"/>
        <v>0</v>
      </c>
      <c r="BM1403" s="26">
        <f t="shared" si="154"/>
        <v>0</v>
      </c>
      <c r="BN1403">
        <f t="shared" si="149"/>
        <v>116.74999999999773</v>
      </c>
      <c r="BO1403">
        <f t="shared" si="150"/>
        <v>116.74999999999773</v>
      </c>
    </row>
    <row r="1404" spans="61:67" x14ac:dyDescent="0.25">
      <c r="BI1404" s="2">
        <f t="shared" si="151"/>
        <v>116.83333333333105</v>
      </c>
      <c r="BJ1404" s="1">
        <f t="shared" si="152"/>
        <v>-3779957.623954528</v>
      </c>
      <c r="BK1404" s="1">
        <f t="shared" si="153"/>
        <v>-3981964.1745843142</v>
      </c>
      <c r="BL1404" s="26">
        <f t="shared" si="148"/>
        <v>0</v>
      </c>
      <c r="BM1404" s="26">
        <f t="shared" si="154"/>
        <v>0</v>
      </c>
      <c r="BN1404">
        <f t="shared" si="149"/>
        <v>116.83333333333105</v>
      </c>
      <c r="BO1404">
        <f t="shared" si="150"/>
        <v>116.83333333333105</v>
      </c>
    </row>
    <row r="1405" spans="61:67" x14ac:dyDescent="0.25">
      <c r="BI1405" s="2">
        <f t="shared" si="151"/>
        <v>116.91666666666438</v>
      </c>
      <c r="BJ1405" s="1">
        <f t="shared" si="152"/>
        <v>-3790710.0127174091</v>
      </c>
      <c r="BK1405" s="1">
        <f t="shared" si="153"/>
        <v>-3993246.8305425984</v>
      </c>
      <c r="BL1405" s="26">
        <f t="shared" si="148"/>
        <v>0</v>
      </c>
      <c r="BM1405" s="26">
        <f t="shared" si="154"/>
        <v>0</v>
      </c>
      <c r="BN1405">
        <f t="shared" si="149"/>
        <v>116.91666666666438</v>
      </c>
      <c r="BO1405">
        <f t="shared" si="150"/>
        <v>116.91666666666438</v>
      </c>
    </row>
    <row r="1406" spans="61:67" x14ac:dyDescent="0.25">
      <c r="BI1406" s="2">
        <f t="shared" si="151"/>
        <v>116.99999999999771</v>
      </c>
      <c r="BJ1406" s="1">
        <f t="shared" si="152"/>
        <v>-3801490.6265007928</v>
      </c>
      <c r="BK1406" s="1">
        <f t="shared" si="153"/>
        <v>-4004559.103472773</v>
      </c>
      <c r="BL1406" s="26">
        <f t="shared" si="148"/>
        <v>0</v>
      </c>
      <c r="BM1406" s="26">
        <f t="shared" si="154"/>
        <v>0</v>
      </c>
      <c r="BN1406">
        <f t="shared" si="149"/>
        <v>116.99999999999771</v>
      </c>
      <c r="BO1406">
        <f t="shared" si="150"/>
        <v>116.99999999999771</v>
      </c>
    </row>
    <row r="1407" spans="61:67" x14ac:dyDescent="0.25">
      <c r="BI1407" s="2">
        <f t="shared" si="151"/>
        <v>117.08333333333104</v>
      </c>
      <c r="BJ1407" s="1">
        <f t="shared" si="152"/>
        <v>-3812299.5393953579</v>
      </c>
      <c r="BK1407" s="1">
        <f t="shared" si="153"/>
        <v>-4015901.0711193895</v>
      </c>
      <c r="BL1407" s="26">
        <f t="shared" si="148"/>
        <v>0</v>
      </c>
      <c r="BM1407" s="26">
        <f t="shared" si="154"/>
        <v>0</v>
      </c>
      <c r="BN1407">
        <f t="shared" si="149"/>
        <v>117.08333333333104</v>
      </c>
      <c r="BO1407">
        <f t="shared" si="150"/>
        <v>117.08333333333104</v>
      </c>
    </row>
    <row r="1408" spans="61:67" x14ac:dyDescent="0.25">
      <c r="BI1408" s="2">
        <f t="shared" si="151"/>
        <v>117.16666666666437</v>
      </c>
      <c r="BJ1408" s="1">
        <f t="shared" si="152"/>
        <v>-3823136.8256862713</v>
      </c>
      <c r="BK1408" s="1">
        <f t="shared" si="153"/>
        <v>-4027272.8114310782</v>
      </c>
      <c r="BL1408" s="26">
        <f t="shared" si="148"/>
        <v>0</v>
      </c>
      <c r="BM1408" s="26">
        <f t="shared" si="154"/>
        <v>0</v>
      </c>
      <c r="BN1408">
        <f t="shared" si="149"/>
        <v>117.16666666666437</v>
      </c>
      <c r="BO1408">
        <f t="shared" si="150"/>
        <v>117.16666666666437</v>
      </c>
    </row>
    <row r="1409" spans="61:67" x14ac:dyDescent="0.25">
      <c r="BI1409" s="2">
        <f t="shared" si="151"/>
        <v>117.2499999999977</v>
      </c>
      <c r="BJ1409" s="1">
        <f t="shared" si="152"/>
        <v>-3834002.5598536981</v>
      </c>
      <c r="BK1409" s="1">
        <f t="shared" si="153"/>
        <v>-4038674.4025610853</v>
      </c>
      <c r="BL1409" s="26">
        <f t="shared" si="148"/>
        <v>0</v>
      </c>
      <c r="BM1409" s="26">
        <f t="shared" si="154"/>
        <v>0</v>
      </c>
      <c r="BN1409">
        <f t="shared" si="149"/>
        <v>117.2499999999977</v>
      </c>
      <c r="BO1409">
        <f t="shared" si="150"/>
        <v>117.2499999999977</v>
      </c>
    </row>
    <row r="1410" spans="61:67" x14ac:dyDescent="0.25">
      <c r="BI1410" s="2">
        <f t="shared" si="151"/>
        <v>117.33333333333103</v>
      </c>
      <c r="BJ1410" s="1">
        <f t="shared" si="152"/>
        <v>-3844896.8165733144</v>
      </c>
      <c r="BK1410" s="1">
        <f t="shared" si="153"/>
        <v>-4050105.9228678085</v>
      </c>
      <c r="BL1410" s="26">
        <f t="shared" si="148"/>
        <v>0</v>
      </c>
      <c r="BM1410" s="26">
        <f t="shared" si="154"/>
        <v>0</v>
      </c>
      <c r="BN1410">
        <f>IF(BK1410&lt;0,BI1410,999)</f>
        <v>117.33333333333103</v>
      </c>
      <c r="BO1410">
        <f t="shared" si="150"/>
        <v>117.33333333333103</v>
      </c>
    </row>
    <row r="1411" spans="61:67" x14ac:dyDescent="0.25">
      <c r="BI1411" s="2">
        <f t="shared" si="151"/>
        <v>117.41666666666436</v>
      </c>
      <c r="BJ1411" s="1">
        <f t="shared" si="152"/>
        <v>-3855819.6707168198</v>
      </c>
      <c r="BK1411" s="1">
        <f t="shared" si="153"/>
        <v>-4061567.4509153371</v>
      </c>
      <c r="BL1411" s="26">
        <f t="shared" si="148"/>
        <v>0</v>
      </c>
      <c r="BM1411" s="26">
        <f t="shared" si="154"/>
        <v>0</v>
      </c>
      <c r="BN1411">
        <f>IF(BK1411&lt;0,BI1411,999)</f>
        <v>117.41666666666436</v>
      </c>
      <c r="BO1411">
        <f t="shared" si="150"/>
        <v>117.41666666666436</v>
      </c>
    </row>
    <row r="1412" spans="61:67" x14ac:dyDescent="0.25">
      <c r="BI1412" s="2">
        <f t="shared" si="151"/>
        <v>117.49999999999768</v>
      </c>
      <c r="BJ1412" s="1">
        <f t="shared" si="152"/>
        <v>-3866771.1973524517</v>
      </c>
      <c r="BK1412" s="1">
        <f>BK1411*(1+$D$4/12)-$C$3-($D$3-$C$3)*BL1412</f>
        <v>-4073059.06547399</v>
      </c>
      <c r="BL1412" s="26">
        <f t="shared" si="148"/>
        <v>0</v>
      </c>
      <c r="BM1412" s="26">
        <f t="shared" si="154"/>
        <v>0</v>
      </c>
      <c r="BN1412">
        <f>IF(BK1412&lt;0,BI1412,999)</f>
        <v>117.49999999999768</v>
      </c>
      <c r="BO1412">
        <f t="shared" si="150"/>
        <v>117.49999999999768</v>
      </c>
    </row>
    <row r="1413" spans="61:67" x14ac:dyDescent="0.25">
      <c r="BI1413" s="2">
        <f t="shared" si="151"/>
        <v>117.58333333333101</v>
      </c>
      <c r="BJ1413" s="1">
        <f t="shared" si="152"/>
        <v>-3877751.4717455022</v>
      </c>
      <c r="BK1413" s="1">
        <f>BK1412*(1+$D$4/12)-$C$3-($D$3-$C$3)*BL1413</f>
        <v>-4084580.8455208596</v>
      </c>
      <c r="BL1413" s="26">
        <f t="shared" si="148"/>
        <v>0</v>
      </c>
      <c r="BM1413" s="26">
        <f t="shared" si="154"/>
        <v>0</v>
      </c>
      <c r="BN1413">
        <f>IF(BK1413&lt;0,BI1413,999)</f>
        <v>117.58333333333101</v>
      </c>
      <c r="BO1413">
        <f t="shared" si="150"/>
        <v>117.58333333333101</v>
      </c>
    </row>
    <row r="1414" spans="61:67" x14ac:dyDescent="0.25">
      <c r="BI1414" s="2">
        <f t="shared" si="151"/>
        <v>117.66666666666434</v>
      </c>
      <c r="BJ1414" s="1">
        <f t="shared" si="152"/>
        <v>-3888760.5693588345</v>
      </c>
      <c r="BK1414" s="1">
        <f>BK1413*(1+$D$4/12)-$C$3-($D$3-$C$3)*BL1414</f>
        <v>-4096132.8702403521</v>
      </c>
      <c r="BL1414" s="26">
        <f t="shared" si="148"/>
        <v>0</v>
      </c>
      <c r="BM1414" s="26">
        <f t="shared" si="154"/>
        <v>0</v>
      </c>
      <c r="BN1414">
        <f>IF(BK1414&lt;0,BI1414,999)</f>
        <v>117.66666666666434</v>
      </c>
      <c r="BO1414">
        <f t="shared" si="150"/>
        <v>117.66666666666434</v>
      </c>
    </row>
    <row r="1415" spans="61:67" x14ac:dyDescent="0.25">
      <c r="BM1415" s="26">
        <f t="shared" si="154"/>
        <v>0</v>
      </c>
    </row>
  </sheetData>
  <mergeCells count="2">
    <mergeCell ref="F7:F8"/>
    <mergeCell ref="G7:G8"/>
  </mergeCells>
  <conditionalFormatting sqref="H35:Y97">
    <cfRule type="top10" dxfId="2" priority="4" percent="1" rank="10"/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7">
      <colorScale>
        <cfvo type="min"/>
        <cfvo type="max"/>
        <color rgb="FFFCFCFF"/>
        <color rgb="FF63BE7B"/>
      </colorScale>
    </cfRule>
  </conditionalFormatting>
  <conditionalFormatting sqref="H35:BD158">
    <cfRule type="top10" dxfId="1" priority="1" percent="1" rank="5"/>
    <cfRule type="top10" dxfId="0" priority="2" percent="1" rank="10"/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V30"/>
  <sheetViews>
    <sheetView tabSelected="1" workbookViewId="0">
      <selection activeCell="E12" sqref="E12"/>
    </sheetView>
  </sheetViews>
  <sheetFormatPr defaultRowHeight="15" x14ac:dyDescent="0.25"/>
  <cols>
    <col min="3" max="3" width="21.85546875" bestFit="1" customWidth="1"/>
    <col min="4" max="5" width="10.5703125" bestFit="1" customWidth="1"/>
    <col min="7" max="7" width="22.28515625" bestFit="1" customWidth="1"/>
    <col min="8" max="9" width="11.5703125" bestFit="1" customWidth="1"/>
    <col min="12" max="12" width="14" bestFit="1" customWidth="1"/>
    <col min="13" max="13" width="11.5703125" bestFit="1" customWidth="1"/>
    <col min="16" max="16" width="17.5703125" bestFit="1" customWidth="1"/>
    <col min="22" max="22" width="10.5703125" bestFit="1" customWidth="1"/>
  </cols>
  <sheetData>
    <row r="2" spans="3:22" x14ac:dyDescent="0.25">
      <c r="H2" t="s">
        <v>30</v>
      </c>
      <c r="I2" t="s">
        <v>29</v>
      </c>
      <c r="L2" t="s">
        <v>48</v>
      </c>
      <c r="M2">
        <v>5</v>
      </c>
      <c r="N2">
        <v>0</v>
      </c>
      <c r="Q2" t="s">
        <v>30</v>
      </c>
      <c r="R2" t="s">
        <v>29</v>
      </c>
    </row>
    <row r="3" spans="3:22" x14ac:dyDescent="0.25">
      <c r="G3" t="s">
        <v>27</v>
      </c>
      <c r="H3" s="44">
        <v>3.15E-2</v>
      </c>
      <c r="I3" s="5">
        <f>H3/12</f>
        <v>2.6250000000000002E-3</v>
      </c>
      <c r="L3" t="s">
        <v>33</v>
      </c>
      <c r="M3" s="33">
        <f>H7</f>
        <v>230000</v>
      </c>
      <c r="P3" t="s">
        <v>27</v>
      </c>
      <c r="Q3" s="44">
        <v>3.15E-2</v>
      </c>
      <c r="R3" s="5">
        <f>Q3/12</f>
        <v>2.6250000000000002E-3</v>
      </c>
      <c r="V3" s="33"/>
    </row>
    <row r="4" spans="3:22" x14ac:dyDescent="0.25">
      <c r="G4" t="s">
        <v>31</v>
      </c>
      <c r="H4" s="44">
        <v>2.8500000000000001E-2</v>
      </c>
      <c r="I4" s="5">
        <f>H4/12</f>
        <v>2.3749999999999999E-3</v>
      </c>
      <c r="L4" t="s">
        <v>34</v>
      </c>
      <c r="M4" s="33">
        <f>H8</f>
        <v>236000</v>
      </c>
      <c r="P4" t="s">
        <v>28</v>
      </c>
      <c r="Q4">
        <v>33.5</v>
      </c>
      <c r="R4">
        <f>Q4*12</f>
        <v>402</v>
      </c>
      <c r="V4" s="33"/>
    </row>
    <row r="5" spans="3:22" x14ac:dyDescent="0.25">
      <c r="G5" t="s">
        <v>28</v>
      </c>
      <c r="H5">
        <v>33.5</v>
      </c>
      <c r="I5">
        <f>H5*12</f>
        <v>402</v>
      </c>
      <c r="L5" t="s">
        <v>35</v>
      </c>
      <c r="M5" s="33">
        <f>H9+(H13+$N$2*(-H21-H22))*$M$2</f>
        <v>144532.25435638611</v>
      </c>
      <c r="P5" t="s">
        <v>33</v>
      </c>
      <c r="Q5" s="26">
        <v>230000</v>
      </c>
      <c r="R5" s="26">
        <f>Q5</f>
        <v>230000</v>
      </c>
      <c r="V5" s="33"/>
    </row>
    <row r="6" spans="3:22" x14ac:dyDescent="0.25">
      <c r="D6" t="s">
        <v>29</v>
      </c>
      <c r="E6" t="s">
        <v>30</v>
      </c>
      <c r="G6" t="s">
        <v>32</v>
      </c>
      <c r="H6">
        <v>35</v>
      </c>
      <c r="I6">
        <f>H6*12</f>
        <v>420</v>
      </c>
      <c r="L6" t="s">
        <v>36</v>
      </c>
      <c r="M6" s="33">
        <f>H10+H14*$M$2</f>
        <v>164415.2795155874</v>
      </c>
      <c r="P6" t="s">
        <v>35</v>
      </c>
      <c r="Q6" s="26">
        <v>190621</v>
      </c>
      <c r="R6" s="26">
        <v>190621</v>
      </c>
      <c r="V6" s="46"/>
    </row>
    <row r="7" spans="3:22" x14ac:dyDescent="0.25">
      <c r="C7" t="s">
        <v>55</v>
      </c>
      <c r="D7" s="47">
        <f>H8*0.1+5000</f>
        <v>28600</v>
      </c>
      <c r="G7" t="s">
        <v>33</v>
      </c>
      <c r="H7" s="26">
        <v>230000</v>
      </c>
      <c r="I7" s="26">
        <f>H7</f>
        <v>230000</v>
      </c>
      <c r="P7" t="s">
        <v>37</v>
      </c>
      <c r="Q7" s="33">
        <f>R7*12</f>
        <v>13200</v>
      </c>
      <c r="R7" s="26">
        <f>575+525</f>
        <v>1100</v>
      </c>
      <c r="V7" s="33"/>
    </row>
    <row r="8" spans="3:22" x14ac:dyDescent="0.25">
      <c r="C8" t="s">
        <v>56</v>
      </c>
      <c r="D8" s="33">
        <f>M17+M18-'Buy New House'!M19</f>
        <v>81731.682063037413</v>
      </c>
      <c r="E8" s="46">
        <f>D8/M2</f>
        <v>16346.336412607483</v>
      </c>
      <c r="G8" t="s">
        <v>34</v>
      </c>
      <c r="H8" s="26">
        <v>236000</v>
      </c>
      <c r="I8" s="26">
        <f>H8</f>
        <v>236000</v>
      </c>
      <c r="L8" t="s">
        <v>49</v>
      </c>
      <c r="M8" s="33">
        <f>M3-M5</f>
        <v>85467.745643613889</v>
      </c>
      <c r="P8" t="s">
        <v>39</v>
      </c>
      <c r="Q8" s="45">
        <f>R8*12</f>
        <v>-9217.7491287227786</v>
      </c>
      <c r="R8" s="45">
        <f>PMT(R3,R4,R6)</f>
        <v>-768.14576072689817</v>
      </c>
    </row>
    <row r="9" spans="3:22" x14ac:dyDescent="0.25">
      <c r="C9" t="s">
        <v>57</v>
      </c>
      <c r="D9" s="33">
        <f>D8-D7</f>
        <v>53131.682063037413</v>
      </c>
      <c r="E9" s="46">
        <f>D9/M2</f>
        <v>10626.336412607483</v>
      </c>
      <c r="G9" t="s">
        <v>35</v>
      </c>
      <c r="H9" s="26">
        <v>190621</v>
      </c>
      <c r="I9" s="26">
        <v>190621</v>
      </c>
      <c r="L9" t="s">
        <v>50</v>
      </c>
      <c r="M9" s="33">
        <f>M4-M6</f>
        <v>71584.720484412595</v>
      </c>
      <c r="P9" t="s">
        <v>42</v>
      </c>
      <c r="Q9" s="33">
        <f>Q7</f>
        <v>13200</v>
      </c>
      <c r="V9" s="33"/>
    </row>
    <row r="10" spans="3:22" x14ac:dyDescent="0.25">
      <c r="C10" t="s">
        <v>58</v>
      </c>
      <c r="E10">
        <f>E9/D7</f>
        <v>0.37155022421704487</v>
      </c>
      <c r="G10" t="s">
        <v>36</v>
      </c>
      <c r="H10" s="26">
        <v>212400</v>
      </c>
      <c r="I10" s="26">
        <f>H10</f>
        <v>212400</v>
      </c>
      <c r="P10" t="s">
        <v>46</v>
      </c>
      <c r="Q10" s="26">
        <f>Q9+Q8</f>
        <v>3982.2508712772214</v>
      </c>
      <c r="R10" s="33">
        <f>Q10/12</f>
        <v>331.85423927310177</v>
      </c>
    </row>
    <row r="11" spans="3:22" x14ac:dyDescent="0.25">
      <c r="G11" t="s">
        <v>37</v>
      </c>
      <c r="H11" s="33">
        <f t="shared" ref="H11:H16" si="0">I11*12</f>
        <v>20400</v>
      </c>
      <c r="I11" s="26">
        <f>575+525+600</f>
        <v>1700</v>
      </c>
      <c r="L11" t="s">
        <v>51</v>
      </c>
      <c r="M11" s="33">
        <f>(1-N2)*(H21)*M2</f>
        <v>12042.93641942354</v>
      </c>
      <c r="Q11" s="26"/>
      <c r="R11" s="33"/>
    </row>
    <row r="12" spans="3:22" x14ac:dyDescent="0.25">
      <c r="G12" t="s">
        <v>38</v>
      </c>
      <c r="H12" s="33">
        <f t="shared" si="0"/>
        <v>13200</v>
      </c>
      <c r="I12" s="26">
        <f>575+525</f>
        <v>1100</v>
      </c>
      <c r="L12" t="s">
        <v>54</v>
      </c>
      <c r="M12" s="33">
        <f>(1-N2)*(H22)*M2</f>
        <v>18015.279515587408</v>
      </c>
      <c r="P12" t="s">
        <v>49</v>
      </c>
      <c r="Q12" s="33">
        <f>Q5-Q6</f>
        <v>39379</v>
      </c>
    </row>
    <row r="13" spans="3:22" x14ac:dyDescent="0.25">
      <c r="G13" t="s">
        <v>39</v>
      </c>
      <c r="H13" s="43">
        <f t="shared" si="0"/>
        <v>-9217.7491287227786</v>
      </c>
      <c r="I13" s="45">
        <f>PMT(I3,I5,I9)</f>
        <v>-768.14576072689817</v>
      </c>
    </row>
    <row r="14" spans="3:22" x14ac:dyDescent="0.25">
      <c r="D14" s="33"/>
      <c r="G14" t="s">
        <v>40</v>
      </c>
      <c r="H14" s="45">
        <f t="shared" si="0"/>
        <v>-9596.9440968825184</v>
      </c>
      <c r="I14" s="45">
        <f>PMT(I4,I6,I10)</f>
        <v>-799.74534140687661</v>
      </c>
      <c r="L14" t="s">
        <v>52</v>
      </c>
      <c r="M14" s="46">
        <f>(1-N2)*(Q10)*M2</f>
        <v>19911.254356386107</v>
      </c>
    </row>
    <row r="15" spans="3:22" x14ac:dyDescent="0.25">
      <c r="D15" s="26"/>
      <c r="G15" t="s">
        <v>20</v>
      </c>
      <c r="H15" s="45">
        <f t="shared" si="0"/>
        <v>-3527.5700242451662</v>
      </c>
      <c r="I15" s="46">
        <f>I13+I9/I5</f>
        <v>-293.96416868709719</v>
      </c>
    </row>
    <row r="16" spans="3:22" x14ac:dyDescent="0.25">
      <c r="D16" s="26"/>
      <c r="G16" t="s">
        <v>41</v>
      </c>
      <c r="H16" s="45">
        <f t="shared" si="0"/>
        <v>-3528.3726683110908</v>
      </c>
      <c r="I16" s="46">
        <f>I14+I10/I6</f>
        <v>-294.03105569259088</v>
      </c>
    </row>
    <row r="17" spans="4:13" x14ac:dyDescent="0.25">
      <c r="D17" s="26"/>
      <c r="G17" t="s">
        <v>44</v>
      </c>
      <c r="H17" s="33">
        <f>(H11+H15)*0.52</f>
        <v>8773.6635873925134</v>
      </c>
      <c r="L17" t="s">
        <v>42</v>
      </c>
      <c r="M17" s="33">
        <f>SUM(M8,M11)</f>
        <v>97510.682063037428</v>
      </c>
    </row>
    <row r="18" spans="4:13" x14ac:dyDescent="0.25">
      <c r="D18" s="26"/>
      <c r="G18" t="s">
        <v>45</v>
      </c>
      <c r="H18" s="33">
        <v>0</v>
      </c>
      <c r="L18" t="s">
        <v>43</v>
      </c>
      <c r="M18" s="33">
        <f>SUM(M9,M12)</f>
        <v>89600</v>
      </c>
    </row>
    <row r="19" spans="4:13" x14ac:dyDescent="0.25">
      <c r="D19" s="26"/>
      <c r="G19" t="s">
        <v>42</v>
      </c>
      <c r="H19" s="33">
        <f>H11-H17</f>
        <v>11626.336412607487</v>
      </c>
      <c r="L19" t="s">
        <v>53</v>
      </c>
      <c r="M19" s="33">
        <f>M14+M8</f>
        <v>105379</v>
      </c>
    </row>
    <row r="20" spans="4:13" x14ac:dyDescent="0.25">
      <c r="D20" s="26"/>
      <c r="G20" t="s">
        <v>43</v>
      </c>
      <c r="H20" s="33">
        <f>H12+H18</f>
        <v>13200</v>
      </c>
    </row>
    <row r="21" spans="4:13" x14ac:dyDescent="0.25">
      <c r="D21" s="26"/>
      <c r="G21" t="s">
        <v>46</v>
      </c>
      <c r="H21" s="26">
        <f>H19+H13</f>
        <v>2408.5872838847081</v>
      </c>
      <c r="I21" s="33">
        <f>H21/12</f>
        <v>200.71560699039233</v>
      </c>
    </row>
    <row r="22" spans="4:13" x14ac:dyDescent="0.25">
      <c r="D22" s="26"/>
      <c r="G22" t="s">
        <v>47</v>
      </c>
      <c r="H22" s="26">
        <f>H20+H14</f>
        <v>3603.0559031174816</v>
      </c>
      <c r="I22" s="33">
        <f>H22/12</f>
        <v>300.25465859312345</v>
      </c>
    </row>
    <row r="23" spans="4:13" x14ac:dyDescent="0.25">
      <c r="D23" s="26"/>
    </row>
    <row r="24" spans="4:13" x14ac:dyDescent="0.25">
      <c r="D24" s="26"/>
      <c r="G24" t="s">
        <v>49</v>
      </c>
      <c r="H24" s="33">
        <f>H7-H9</f>
        <v>39379</v>
      </c>
    </row>
    <row r="25" spans="4:13" x14ac:dyDescent="0.25">
      <c r="D25" s="26"/>
      <c r="G25" t="s">
        <v>50</v>
      </c>
      <c r="H25" s="33">
        <f>H8-H10</f>
        <v>23600</v>
      </c>
    </row>
    <row r="26" spans="4:13" x14ac:dyDescent="0.25">
      <c r="D26" s="26"/>
    </row>
    <row r="27" spans="4:13" x14ac:dyDescent="0.25">
      <c r="D27" s="26"/>
    </row>
    <row r="28" spans="4:13" x14ac:dyDescent="0.25">
      <c r="D28" s="26"/>
    </row>
    <row r="29" spans="4:13" x14ac:dyDescent="0.25">
      <c r="D29" s="26"/>
    </row>
    <row r="30" spans="4:13" x14ac:dyDescent="0.25">
      <c r="D30" s="2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Additional Repayment</vt:lpstr>
      <vt:lpstr>Buy New House</vt:lpstr>
    </vt:vector>
  </TitlesOfParts>
  <Company>Unknown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aidan2160@hotmail.com</dc:creator>
  <cp:lastModifiedBy>aidan2160@hotmail.com</cp:lastModifiedBy>
  <dcterms:created xsi:type="dcterms:W3CDTF">2018-09-29T08:25:12Z</dcterms:created>
  <dcterms:modified xsi:type="dcterms:W3CDTF">2020-03-02T22:55:49Z</dcterms:modified>
</cp:coreProperties>
</file>